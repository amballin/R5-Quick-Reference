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9ffe1b328c4a95" /></Relationships>
</file>

<file path=xl/workbook.xml><?xml version="1.0" encoding="utf-8"?>
<x:workbook xmlns:ns1="http://schemas.openxmlformats.org/officeDocument/2006/relationships" xmlns:x="http://schemas.openxmlformats.org/spreadsheetml/2006/main">
  <x:bookViews>
    <x:workbookView activeTab="0"/>
  </x:bookViews>
  <x:sheets>
    <x:sheet name="Dashboard" sheetId="1" ns1:id="R652895637daa487c"/>
    <x:sheet name="Checklist" sheetId="2" ns1:id="R594c446137cc4cac"/>
    <x:sheet name="C1-C3 Registration" sheetId="3" ns1:id="R0260dc22b23d40d1"/>
    <x:sheet name="Sessions" sheetId="4" ns1:id="R3a8aae84195f42a3"/>
    <x:sheet name="Lists" sheetId="5" ns1:id="R865ac3c4c3a8485c"/>
    <x:sheet name="Menu" sheetId="6" ns1:id="R934677c968d640cd"/>
    <x:sheet name="Metadata" sheetId="7" ns1:id="R9e32fb162359454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9">
    <x:font>
      <x:sz val="11"/>
      <x:name val="Carlito"/>
    </x:font>
    <x:font>
      <x:b/>
      <x:sz val="11"/>
      <x:color rgb="FFFFFFFF"/>
      <x:name val="Carlito"/>
    </x:font>
    <x:font>
      <x:b/>
      <x:sz val="11"/>
      <x:name val="Carlito"/>
    </x:font>
    <x:font>
      <x:sz val="11"/>
      <x:name val="Carlito"/>
    </x:font>
    <x:font>
      <x:b/>
      <x:sz val="16"/>
      <x:color rgb="FFFFFFFF"/>
      <x:name val="Carlito"/>
    </x:font>
    <x:font>
      <x:i/>
      <x:sz val="11"/>
      <x:color rgb="FF17324D"/>
      <x:name val="Carlito"/>
    </x:font>
    <x:font>
      <x:b/>
      <x:sz val="10"/>
      <x:color rgb="FF17324D"/>
      <x:name val="Carlito"/>
    </x:font>
    <x:font>
      <x:sz val="1"/>
      <x:color rgb="FFFFFFFF"/>
      <x:name val="Carlito"/>
    </x:font>
    <x:font>
      <x:b/>
      <x:sz val="20"/>
      <x:color rgb="FFFFFFFF"/>
      <x:name val="Carlito"/>
    </x:font>
    <x:font>
      <x:b/>
      <x:sz val="11"/>
      <x:color rgb="FF70AD47"/>
      <x:name val="Carlito"/>
    </x:font>
    <x:font>
      <x:b/>
      <x:sz val="11"/>
      <x:color rgb="FFFFC000"/>
      <x:name val="Carlito"/>
    </x:font>
    <x:font>
      <x:b/>
      <x:sz val="11"/>
      <x:color rgb="FFC00000"/>
      <x:name val="Carlito"/>
    </x:font>
    <x:font>
      <x:b/>
      <x:sz val="16"/>
      <x:name val="Carlito"/>
    </x:font>
    <x:font>
      <x:b/>
      <x:sz val="16"/>
      <x:color rgb="FF17324D"/>
      <x:name val="Carlito"/>
    </x:font>
    <x:font>
      <x:b/>
      <x:sz val="16"/>
      <x:color rgb="FF70AD47"/>
      <x:name val="Carlito"/>
    </x:font>
    <x:font>
      <x:b/>
      <x:sz val="16"/>
      <x:color rgb="FFFFC000"/>
      <x:name val="Carlito"/>
    </x:font>
    <x:font>
      <x:b/>
      <x:sz val="16"/>
      <x:color rgb="FFC00000"/>
      <x:name val="Carlito"/>
    </x:font>
    <x:font>
      <x:sz val="11"/>
      <x:color rgb="FF17324D"/>
      <x:name val="Carlito"/>
    </x:font>
    <x:font>
      <x:sz val="10"/>
      <x:name val="Carlito"/>
    </x:font>
  </x:fonts>
  <x:fills count="9">
    <x:fill>
      <x:patternFill patternType="none"/>
    </x:fill>
    <x:fill>
      <x:patternFill patternType="gray125"/>
    </x:fill>
    <x:fill>
      <x:patternFill patternType="solid">
        <x:fgColor rgb="FF295D82"/>
      </x:patternFill>
    </x:fill>
    <x:fill>
      <x:patternFill patternType="solid">
        <x:fgColor rgb="FF17324D"/>
      </x:patternFill>
    </x:fill>
    <x:fill>
      <x:patternFill patternType="solid">
        <x:fgColor rgb="FFDCE8F2"/>
      </x:patternFill>
    </x:fill>
    <x:fill>
      <x:patternFill patternType="solid">
        <x:fgColor rgb="FFFFF2CC"/>
      </x:patternFill>
    </x:fill>
    <x:fill>
      <x:patternFill patternType="solid">
        <x:fgColor rgb="FFF2F5F7"/>
      </x:patternFill>
    </x:fill>
    <x:fill>
      <x:patternFill patternType="solid">
        <x:fgColor rgb="FFE8F3E2"/>
      </x:patternFill>
    </x:fill>
    <x:fill>
      <x:patternFill patternType="solid">
        <x:fgColor rgb="FFFCE4D6"/>
      </x:patternFill>
    </x:fill>
  </x:fills>
  <x:borders count="12">
    <x:border/>
    <x:border>
      <x:left style="thick">
        <x:color rgb="FF295D82"/>
      </x:left>
      <x:right style="thick">
        <x:color rgb="FF295D82"/>
      </x:right>
      <x:top style="thick">
        <x:color rgb="FF295D82"/>
      </x:top>
      <x:bottom style="thick">
        <x:color rgb="FF295D82"/>
      </x:bottom>
    </x:border>
    <x:border>
      <x:left style="thick">
        <x:color rgb="FF295D82"/>
      </x:left>
      <x:right style="thick">
        <x:color rgb="FF295D82"/>
      </x:right>
    </x:border>
    <x:border>
      <x:left style="thick">
        <x:color rgb="FF295D82"/>
      </x:left>
      <x:right style="thick">
        <x:color rgb="FF295D82"/>
      </x:right>
      <x:bottom style="thick">
        <x:color rgb="FF295D82"/>
      </x:bottom>
    </x:border>
    <x:border>
      <x:left style="thick">
        <x:color rgb="FF295D82"/>
      </x:left>
      <x:top style="thick">
        <x:color rgb="FF295D82"/>
      </x:top>
      <x:bottom style="thick">
        <x:color rgb="FF295D82"/>
      </x:bottom>
    </x:border>
    <x:border>
      <x:top style="thick">
        <x:color rgb="FF295D82"/>
      </x:top>
      <x:bottom style="thick">
        <x:color rgb="FF295D82"/>
      </x:bottom>
    </x:border>
    <x:border>
      <x:right style="thick">
        <x:color rgb="FF295D82"/>
      </x:right>
      <x:top style="thick">
        <x:color rgb="FF295D82"/>
      </x:top>
      <x:bottom style="thick">
        <x:color rgb="FF295D82"/>
      </x:bottom>
    </x:border>
    <x:border>
      <x:left style="thick">
        <x:color rgb="FF295D82"/>
      </x:left>
    </x:border>
    <x:border>
      <x:right style="thick">
        <x:color rgb="FF295D82"/>
      </x:right>
    </x:border>
    <x:border>
      <x:left style="thick">
        <x:color rgb="FF295D82"/>
      </x:left>
      <x:bottom style="thick">
        <x:color rgb="FF295D82"/>
      </x:bottom>
    </x:border>
    <x:border>
      <x:bottom style="thick">
        <x:color rgb="FF295D82"/>
      </x:bottom>
    </x:border>
    <x:border>
      <x:right style="thick">
        <x:color rgb="FF295D82"/>
      </x:right>
      <x:bottom style="thick">
        <x:color rgb="FF295D82"/>
      </x:bottom>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2" fillId="0" borderId="0" xfId="0" applyNumberFormat="1" applyFont="1" applyFill="1" applyBorder="1" applyAlignment="1">
      <x:alignment horizontal="left" vertical="center" wrapText="0"/>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center" wrapText="0"/>
    </x:xf>
    <x:xf numFmtId="0" fontId="3" fillId="0" borderId="0" xfId="0" applyNumberFormat="1" applyFont="1" applyFill="1" applyBorder="1" applyAlignment="1">
      <x:alignment horizontal="left" vertical="center" wrapText="1"/>
    </x:xf>
    <x:xf numFmtId="0" fontId="3" fillId="0" borderId="0" xfId="0" applyNumberFormat="1" applyFont="1" applyFill="1" applyBorder="1" applyAlignment="1">
      <x:alignment vertical="center" wrapText="0"/>
    </x:xf>
    <x:xf numFmtId="0" fontId="3" fillId="0" borderId="0" xfId="0" applyNumberFormat="1" applyFont="1" applyFill="1" applyBorder="1" applyAlignment="1">
      <x:alignment horizontal="center" vertical="center" wrapText="0"/>
    </x:xf>
    <x:xf numFmtId="0" fontId="3" fillId="0" borderId="0" xfId="0" applyNumberFormat="1" applyFont="1" applyFill="1" applyBorder="1"/>
    <x:xf numFmtId="0" fontId="3" fillId="0" borderId="0" xfId="0" applyNumberFormat="1" applyFont="1" applyFill="1" applyBorder="1" applyAlignment="1">
      <x:alignment wrapText="0"/>
    </x:xf>
    <x:xf numFmtId="0" fontId="3" fillId="0" borderId="0" xfId="0" applyNumberFormat="1" applyFont="1" applyFill="1" applyBorder="1" applyAlignment="1">
      <x:alignment horizontal="center" wrapText="0"/>
    </x:xf>
    <x:xf numFmtId="0" fontId="3" fillId="0" borderId="0" xfId="0" applyNumberFormat="1" applyFont="1" applyFill="1" applyBorder="1" applyAlignment="1">
      <x:alignment horizontal="left" wrapText="0"/>
    </x:xf>
    <x:xf numFmtId="0" fontId="3" fillId="0" borderId="0" xfId="0" applyNumberFormat="1" applyFont="1" applyFill="1" applyBorder="1" applyAlignment="1">
      <x:alignment horizontal="left" vertical="center" wrapText="0"/>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left" wrapText="1"/>
    </x:xf>
    <x:xf numFmtId="0" fontId="3" fillId="0" borderId="0" xfId="0" applyNumberFormat="1" applyFont="1" applyFill="1" applyBorder="1" applyAlignment="1">
      <x:alignment horizont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200" fontId="3" fillId="0" borderId="0" xfId="0" applyNumberFormat="1" applyFont="1" applyFill="1" applyBorder="1" applyAlignment="1">
      <x:alignment horizontal="center" vertical="center" wrapText="0"/>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right" vertical="center" wrapText="1"/>
    </x:xf>
    <x:xf numFmtId="0" fontId="0" fillId="0" borderId="0" xfId="0" applyNumberFormat="1" applyFont="1" applyFill="1" applyBorder="1" applyAlignment="1">
      <x:alignment horizontal="center" vertic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7" fillId="0" borderId="0" xfId="0" applyNumberFormat="1" applyFont="1" applyFill="1" applyBorder="1"/>
    <x:xf numFmtId="0" fontId="4" fillId="3" borderId="1" xfId="0" applyNumberFormat="1" applyFont="1" applyFill="1" applyBorder="1" applyAlignment="1">
      <x:alignment horizontal="left" vertical="center"/>
    </x:xf>
    <x:xf numFmtId="0" fontId="5" fillId="4" borderId="2" xfId="0" applyNumberFormat="1" applyFont="1" applyFill="1" applyBorder="1" applyAlignment="1">
      <x:alignment vertical="center" wrapText="1"/>
    </x:xf>
    <x:xf numFmtId="0" fontId="6" fillId="5" borderId="2"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horizontal="right" vertical="center" wrapText="1"/>
    </x:xf>
    <x:xf numFmtId="0" fontId="0" fillId="0" borderId="3" xfId="0" applyNumberFormat="1" applyFont="1" applyFill="1" applyBorder="1" applyAlignment="1">
      <x:alignment horizontal="right" vertical="center" wrapText="1"/>
    </x:xf>
    <x:xf numFmtId="0" fontId="0" fillId="0" borderId="2"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left" vertical="center"/>
    </x:xf>
    <x:xf numFmtId="0" fontId="4" fillId="3" borderId="5" xfId="0" applyNumberFormat="1" applyFont="1" applyFill="1" applyBorder="1" applyAlignment="1">
      <x:alignment horizontal="left" vertical="center"/>
    </x:xf>
    <x:xf numFmtId="0" fontId="4" fillId="3" borderId="6" xfId="0" applyNumberFormat="1" applyFont="1" applyFill="1" applyBorder="1" applyAlignment="1">
      <x:alignment horizontal="left" vertical="center"/>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6" fillId="5" borderId="7" xfId="0" applyNumberFormat="1" applyFont="1" applyFill="1" applyBorder="1" applyAlignment="1">
      <x:alignment horizontal="center" vertical="center"/>
    </x:xf>
    <x:xf numFmtId="0" fontId="0" fillId="0" borderId="8" xfId="0" applyNumberFormat="1" applyFont="1" applyFill="1" applyBorder="1"/>
    <x:xf numFmtId="0" fontId="1" fillId="2" borderId="7" xfId="0" applyNumberFormat="1" applyFont="1" applyFill="1" applyBorder="1" applyAlignment="1">
      <x:alignment horizontal="center" vertical="center" wrapText="1"/>
    </x:xf>
    <x:xf numFmtId="0" fontId="1" fillId="2" borderId="8" xfId="0" applyNumberFormat="1" applyFont="1" applyFill="1" applyBorder="1" applyAlignment="1">
      <x:alignment horizontal="center" vertical="center" wrapText="1"/>
    </x:xf>
    <x:xf numFmtId="0" fontId="0" fillId="0" borderId="7" xfId="0" applyNumberFormat="1" applyFont="1" applyFill="1" applyBorder="1" applyAlignment="1">
      <x:alignment horizontal="center"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horizontal="center"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8" fillId="3" borderId="0" xfId="0" applyNumberFormat="1" applyFont="1" applyFill="1" applyBorder="1"/>
    <x:xf numFmtId="0" fontId="8" fillId="3" borderId="0" xfId="0" applyNumberFormat="1" applyFont="1" applyFill="1" applyBorder="1" applyAlignment="1">
      <x:alignment horizontal="left"/>
    </x:xf>
    <x:xf numFmtId="0" fontId="8" fillId="3" borderId="0" xfId="0" applyNumberFormat="1" applyFont="1" applyFill="1" applyBorder="1" applyAlignment="1">
      <x:alignment horizontal="left" vertical="center"/>
    </x:xf>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center" vertical="center"/>
    </x:xf>
    <x:xf numFmtId="0" fontId="2" fillId="6" borderId="0" xfId="0" applyNumberFormat="1" applyFont="1" applyFill="1" applyBorder="1" applyAlignment="1">
      <x:alignment horizontal="center" vertical="center"/>
    </x:xf>
    <x:xf numFmtId="0" fontId="2" fillId="7" borderId="0" xfId="0" applyNumberFormat="1" applyFont="1" applyFill="1" applyBorder="1" applyAlignment="1">
      <x:alignment horizontal="center" vertical="center"/>
    </x:xf>
    <x:xf numFmtId="0" fontId="9" fillId="7" borderId="0" xfId="0" applyNumberFormat="1" applyFont="1" applyFill="1" applyBorder="1" applyAlignment="1">
      <x:alignment horizontal="center" vertical="center"/>
    </x:xf>
    <x:xf numFmtId="0" fontId="2" fillId="5" borderId="0" xfId="0" applyNumberFormat="1" applyFont="1" applyFill="1" applyBorder="1" applyAlignment="1">
      <x:alignment horizontal="center" vertical="center"/>
    </x:xf>
    <x:xf numFmtId="0" fontId="10" fillId="5" borderId="0" xfId="0" applyNumberFormat="1" applyFont="1" applyFill="1" applyBorder="1" applyAlignment="1">
      <x:alignment horizontal="center" vertical="center"/>
    </x:xf>
    <x:xf numFmtId="0" fontId="2" fillId="8" borderId="0" xfId="0" applyNumberFormat="1" applyFont="1" applyFill="1" applyBorder="1" applyAlignment="1">
      <x:alignment horizontal="center" vertical="center"/>
    </x:xf>
    <x:xf numFmtId="0" fontId="11" fillId="8" borderId="0" xfId="0" applyNumberFormat="1" applyFont="1" applyFill="1" applyBorder="1" applyAlignment="1">
      <x:alignment horizontal="center" vertical="center"/>
    </x:xf>
    <x:xf numFmtId="0" fontId="12" fillId="0" borderId="0" xfId="0" applyNumberFormat="1" applyFont="1" applyFill="1" applyBorder="1"/>
    <x:xf numFmtId="0" fontId="12" fillId="0" borderId="0" xfId="0" applyNumberFormat="1" applyFont="1" applyFill="1" applyBorder="1" applyAlignment="1">
      <x:alignment horizontal="center"/>
    </x:xf>
    <x:xf numFmtId="0" fontId="12" fillId="0" borderId="0" xfId="0" applyNumberFormat="1" applyFont="1" applyFill="1" applyBorder="1" applyAlignment="1">
      <x:alignment horizontal="center" vertical="center"/>
    </x:xf>
    <x:xf numFmtId="0" fontId="13" fillId="0" borderId="0" xfId="0" applyNumberFormat="1" applyFont="1" applyFill="1" applyBorder="1" applyAlignment="1">
      <x:alignment horizontal="center" vertical="center"/>
    </x:xf>
    <x:xf numFmtId="0" fontId="14" fillId="0" borderId="0" xfId="0" applyNumberFormat="1" applyFont="1" applyFill="1" applyBorder="1" applyAlignment="1">
      <x:alignment horizontal="center" vertical="center"/>
    </x:xf>
    <x:xf numFmtId="0" fontId="15" fillId="0" borderId="0" xfId="0" applyNumberFormat="1" applyFont="1" applyFill="1" applyBorder="1" applyAlignment="1">
      <x:alignment horizontal="center" vertical="center"/>
    </x:xf>
    <x:xf numFmtId="0" fontId="16" fillId="0" borderId="0" xfId="0" applyNumberFormat="1" applyFont="1" applyFill="1" applyBorder="1" applyAlignment="1">
      <x:alignment horizontal="center" vertical="center"/>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1" fillId="3" borderId="0" xfId="0" applyNumberFormat="1" applyFont="1" applyFill="1" applyBorder="1"/>
    <x:xf numFmtId="0" fontId="0" fillId="6" borderId="0" xfId="0" applyNumberFormat="1" applyFont="1" applyFill="1" applyBorder="1"/>
    <x:xf numFmtId="0" fontId="17" fillId="6" borderId="0" xfId="0" applyNumberFormat="1" applyFont="1" applyFill="1" applyBorder="1"/>
    <x:xf numFmtId="0" fontId="17" fillId="6" borderId="0" xfId="0" applyNumberFormat="1" applyFont="1" applyFill="1" applyBorder="1" applyAlignment="1">
      <x:alignment wrapText="1"/>
    </x:xf>
    <x:xf numFmtId="0" fontId="17" fillId="6" borderId="0" xfId="0" applyNumberFormat="1" applyFont="1" applyFill="1" applyBorder="1" applyAlignment="1">
      <x:alignment vertical="top" wrapText="1"/>
    </x:xf>
    <x:xf numFmtId="0" fontId="18" fillId="0" borderId="0" xfId="0" applyNumberFormat="1" applyFont="1" applyFill="1" applyBorder="1"/>
    <x:xf numFmtId="0" fontId="18" fillId="0" borderId="0" xfId="0" applyNumberFormat="1" applyFont="1" applyFill="1" applyBorder="1" applyAlignment="1">
      <x:alignment vertical="center"/>
    </x:xf>
  </x:cellXfs>
  <x:cellStyles count="1">
    <x:cellStyle name="Normal" xfId="0"/>
  </x:cellStyles>
  <x:dxfs count="15">
    <x:dxf>
      <x:font>
        <x:b/>
        <x:color rgb="FF295D82"/>
      </x:font>
      <x:fill>
        <x:patternFill patternType="solid">
          <x:bgColor rgb="FFDCE8F2"/>
        </x:patternFill>
      </x:fill>
    </x:dxf>
    <x:dxf>
      <x:font>
        <x:b/>
        <x:color rgb="FF315B20"/>
      </x:font>
      <x:fill>
        <x:patternFill patternType="solid">
          <x:bgColor rgb="FFE8F3E2"/>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4CCCC"/>
        </x:patternFill>
      </x:fill>
    </x:dxf>
    <x:dxf>
      <x:font>
        <x:color rgb="FF000000"/>
      </x:font>
      <x:fill>
        <x:patternFill patternType="solid">
          <x:bgColor rgb="FFFFFC98"/>
        </x:patternFill>
      </x:fill>
    </x:dxf>
    <x:dxf>
      <x:font>
        <x:color rgb="FF000000"/>
      </x:font>
      <x:fill>
        <x:patternFill patternType="solid">
          <x:bgColor rgb="FFFFFC98"/>
        </x:patternFill>
      </x:fill>
    </x:dxf>
    <x:dxf>
      <x:font>
        <x:color rgb="FF000000"/>
      </x:font>
      <x:fill>
        <x:patternFill patternType="solid">
          <x:bgColor rgb="FFFFFC98"/>
        </x:patternFill>
      </x:fill>
    </x:dxf>
    <x:dxf>
      <x:font>
        <x:color rgb="FF000000"/>
      </x:font>
      <x:fill>
        <x:patternFill patternType="solid">
          <x:bgColor rgb="FFFFFC98"/>
        </x:patternFill>
      </x:fill>
    </x:dxf>
    <x:dxf>
      <x:font>
        <x:b/>
        <x:color rgb="FF70AD47"/>
      </x:font>
      <x:fill>
        <x:patternFill patternType="solid">
          <x:bgColor rgb="FFE8F3E2"/>
        </x:patternFill>
      </x:fill>
    </x:dxf>
    <x:dxf>
      <x:font>
        <x:b/>
        <x:color rgb="FFFFC000"/>
      </x:font>
      <x:fill>
        <x:patternFill patternType="solid">
          <x:bgColor rgb="FFFFF2CC"/>
        </x:patternFill>
      </x:fill>
    </x:dxf>
    <x:dxf>
      <x:font>
        <x:b/>
        <x:color rgb="FFC00000"/>
      </x:font>
      <x:fill>
        <x:patternFill patternType="solid">
          <x:bgColor rgb="FFFCE4D6"/>
        </x:patternFill>
      </x:fill>
    </x:dxf>
    <x:dxf>
      <x:font>
        <x:color rgb="FF70AD47"/>
      </x:font>
    </x:dxf>
    <x:dxf>
      <x:font>
        <x:b/>
        <x:color rgb="FF17324D"/>
      </x:font>
      <x:fill>
        <x:patternFill patternType="solid">
          <x:bgColor rgb="FFFFF2CC"/>
        </x:patternFill>
      </x:fill>
    </x:dxf>
    <x:dxf>
      <x:font>
        <x:i/>
      </x:font>
    </x:dxf>
  </x:dxfs>
</x:styleSheet>
</file>

<file path=xl/_rels/workbook.xml.rels>&#65279;<?xml version="1.0" encoding="utf-8"?><Relationships xmlns="http://schemas.openxmlformats.org/package/2006/relationships"><Relationship Type="http://schemas.openxmlformats.org/officeDocument/2006/relationships/styles" Target="/xl/styles.xml" Id="R533f32f0ca7d4bab" /><Relationship Type="http://schemas.openxmlformats.org/officeDocument/2006/relationships/theme" Target="/xl/theme/theme1.xml" Id="R2ac3cf249c724484" /><Relationship Type="http://schemas.openxmlformats.org/officeDocument/2006/relationships/sharedStrings" Target="/xl/sharedStrings.xml" Id="R3f47f6478a724605" /><Relationship Type="http://schemas.openxmlformats.org/officeDocument/2006/relationships/worksheet" Target="/xl/worksheets/sheet1.xml" Id="R652895637daa487c" /><Relationship Type="http://schemas.openxmlformats.org/officeDocument/2006/relationships/worksheet" Target="/xl/worksheets/sheet2.xml" Id="R594c446137cc4cac" /><Relationship Type="http://schemas.openxmlformats.org/officeDocument/2006/relationships/worksheet" Target="/xl/worksheets/sheet3.xml" Id="R0260dc22b23d40d1" /><Relationship Type="http://schemas.openxmlformats.org/officeDocument/2006/relationships/worksheet" Target="/xl/worksheets/sheet4.xml" Id="R3a8aae84195f42a3" /><Relationship Type="http://schemas.openxmlformats.org/officeDocument/2006/relationships/worksheet" Target="/xl/worksheets/sheet5.xml" Id="R865ac3c4c3a8485c" /><Relationship Type="http://schemas.openxmlformats.org/officeDocument/2006/relationships/worksheet" Target="/xl/worksheets/sheet6.xml" Id="R934677c968d640cd" /><Relationship Type="http://schemas.openxmlformats.org/officeDocument/2006/relationships/worksheet" Target="/xl/worksheets/sheet7.xml" Id="R9e32fb1623594543" /></Relationships>
</file>

<file path=xl/drawings/_rels/drawing1.xml.rels>&#65279;<?xml version="1.0" encoding="utf-8"?><Relationships xmlns="http://schemas.openxmlformats.org/package/2006/relationships"><Relationship Type="http://schemas.openxmlformats.org/officeDocument/2006/relationships/image" Target="/xl/media/image.png" Id="Re6665a6309014528" /></Relationships>
</file>

<file path=xl/drawings/drawing1.xml><?xml version="1.0" encoding="utf-8"?>
<xdr:wsDr xmlns:xdr="http://schemas.openxmlformats.org/drawingml/2006/spreadsheetDrawing">
  <xdr:oneCellAnchor>
    <xdr:from>
      <xdr:col>0</xdr:col>
      <xdr:colOff>0</xdr:colOff>
      <xdr:row>0</xdr:row>
      <xdr:rowOff>0</xdr:rowOff>
    </xdr:from>
    <xdr:ext cx="24765000" cy="1200150"/>
    <xdr:pic>
      <xdr:nvPicPr>
        <xdr:cNvPr id="1" name="547f717f-9c71-4eab-8f9c-a606ce33b96e"/>
        <xdr:cNvPicPr>
          <a:picLocks xmlns:a="http://schemas.openxmlformats.org/drawingml/2006/main" noChangeAspect="1"/>
        </xdr:cNvPicPr>
      </xdr:nvPicPr>
      <xdr:blipFill>
        <a:blip xmlns:r="http://schemas.openxmlformats.org/officeDocument/2006/relationships" xmlns:a="http://schemas.openxmlformats.org/drawingml/2006/main" r:embed="Re6665a630901452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2" name="VerificationChecklist" displayName="VerificationChecklist" ref="A5:R42" headerRowCount="1" totalsRowCount="0" totalsRowShown="0">
  <x:autoFilter ref="A5:R42"/>
  <x:tableColumns count="18">
    <x:tableColumn id="1" name="Test ID"/>
    <x:tableColumn id="2" name="Sequence"/>
    <x:tableColumn id="3" name="Phase"/>
    <x:tableColumn id="4" name="Expected Result"/>
    <x:tableColumn id="5" name="Task"/>
    <x:tableColumn id="6" name="Best Access"/>
    <x:tableColumn id="7" name="Menu Location"/>
    <x:tableColumn id="8" name="Menu Detail"/>
    <x:tableColumn id="9" name="Status"/>
    <x:tableColumn id="10" name="Test Date"/>
    <x:tableColumn id="11" name="Session ID"/>
    <x:tableColumn id="12" name="Evidence Files"/>
    <x:tableColumn id="13" name="Observation"/>
    <x:tableColumn id="14" name="Next Action"/>
    <x:tableColumn id="15" name="Evidence Class"/>
    <x:tableColumn id="16" name="Project Update?"/>
    <x:tableColumn id="17" name="Target Project Files"/>
    <x:tableColumn id="18" name="Updated in Project"/>
  </x:tableColumns>
  <x:tableStyleInfo name="TableStyleMedium2" showFirstColumn="0" showLastColumn="0" showRowStripes="1" showColumnStripes="0"/>
</x:table>
</file>

<file path=xl/tables/table2.xml><?xml version="1.0" encoding="utf-8"?>
<x:table xmlns:x="http://schemas.openxmlformats.org/spreadsheetml/2006/main" id="3" name="RegistrationTable" displayName="RegistrationTable" ref="A4:N26" headerRowCount="1" totalsRowCount="0" totalsRowShown="0">
  <x:autoFilter ref="A4:N26"/>
  <x:tableColumns count="14">
    <x:tableColumn id="1" name="Setting"/>
    <x:tableColumn id="2" name="Default Settings"/>
    <x:tableColumn id="3" name="C1 Wildlife Target"/>
    <x:tableColumn id="4" name="C1 Configured"/>
    <x:tableColumn id="5" name="C1 Read-back"/>
    <x:tableColumn id="6" name="C1 Notes"/>
    <x:tableColumn id="7" name="C2 Birds in Flight Target"/>
    <x:tableColumn id="8" name="C2 Configured"/>
    <x:tableColumn id="9" name="C2 Read-back"/>
    <x:tableColumn id="10" name="C2 Notes"/>
    <x:tableColumn id="11" name="C3 Landscape Target"/>
    <x:tableColumn id="12" name="C3 Configured"/>
    <x:tableColumn id="13" name="C3 Read-back"/>
    <x:tableColumn id="14" name="C3 Notes"/>
  </x:tableColumns>
  <x:tableStyleInfo name="TableStyleMedium2" showFirstColumn="0" showLastColumn="0" showRowStripes="1" showColumnStripes="0"/>
</x:table>
</file>

<file path=xl/tables/table3.xml><?xml version="1.0" encoding="utf-8"?>
<x:table xmlns:x="http://schemas.openxmlformats.org/spreadsheetml/2006/main" id="4" name="SessionsTable" displayName="SessionsTable" ref="A4:L24" headerRowCount="1" totalsRowCount="0" totalsRowShown="0">
  <x:autoFilter ref="A4:L24"/>
  <x:tableColumns count="12">
    <x:tableColumn id="1" name="Session ID"/>
    <x:tableColumn id="2" name="Date"/>
    <x:tableColumn id="3" name="Goal"/>
    <x:tableColumn id="4" name="Firmware"/>
    <x:tableColumn id="5" name="Battery / Charge"/>
    <x:tableColumn id="6" name="Lens"/>
    <x:tableColumn id="7" name="Flash / Trigger"/>
    <x:tableColumn id="8" name="Starting Backup"/>
    <x:tableColumn id="9" name="Image Range"/>
    <x:tableColumn id="10" name="Outcome"/>
    <x:tableColumn id="11" name="Next Session"/>
    <x:tableColumn id="12" name="Notes"/>
  </x:tableColumns>
  <x:tableStyleInfo name="TableStyleMedium2" showFirstColumn="0" showLastColumn="0" showRowStripes="1" showColumnStripes="0"/>
</x:table>
</file>

<file path=xl/tables/table4.xml><?xml version="1.0" encoding="utf-8"?>
<x:table xmlns:x="http://schemas.openxmlformats.org/spreadsheetml/2006/main" id="1" name="VerificationMenu" displayName="VerificationMenu" ref="A1:E38" headerRowCount="1" totalsRowCount="0" totalsRowShown="0">
  <x:autoFilter ref="A1:E38"/>
  <x:tableColumns count="5">
    <x:tableColumn id="1" name="Test ID"/>
    <x:tableColumn id="2" name="Best Access"/>
    <x:tableColumn id="3" name="Menu Location"/>
    <x:tableColumn id="4" name="Menu Detail"/>
    <x:tableColumn id="5" name="Sequ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ba3a0213cea4066" /><Relationship Type="http://schemas.openxmlformats.org/officeDocument/2006/relationships/table" Target="/xl/tables/table1.xml" Id="Rf00f98d73cdb4ecd" /></Relationships>
</file>

<file path=xl/worksheets/_rels/sheet3.xml.rels>&#65279;<?xml version="1.0" encoding="utf-8"?><Relationships xmlns="http://schemas.openxmlformats.org/package/2006/relationships"><Relationship Type="http://schemas.openxmlformats.org/officeDocument/2006/relationships/table" Target="/xl/tables/table2.xml" Id="Rce19ceaabda14f84" /></Relationships>
</file>

<file path=xl/worksheets/_rels/sheet4.xml.rels>&#65279;<?xml version="1.0" encoding="utf-8"?><Relationships xmlns="http://schemas.openxmlformats.org/package/2006/relationships"><Relationship Type="http://schemas.openxmlformats.org/officeDocument/2006/relationships/table" Target="/xl/tables/table3.xml" Id="R9fafa41c0b3c42ff" /></Relationships>
</file>

<file path=xl/worksheets/_rels/sheet6.xml.rels>&#65279;<?xml version="1.0" encoding="utf-8"?><Relationships xmlns="http://schemas.openxmlformats.org/package/2006/relationships"><Relationship Type="http://schemas.openxmlformats.org/officeDocument/2006/relationships/table" Target="/xl/tables/table4.xml" Id="R958a2fe5e2764966"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6" hidden="0" customWidth="1"/>
    <x:col min="5" max="5" width="18" hidden="0" customWidth="1"/>
    <x:col min="6" max="6" width="16" hidden="0" customWidth="1"/>
    <x:col min="7" max="7" width="32" hidden="0" customWidth="1"/>
    <x:col min="8" max="8" width="12" hidden="0" customWidth="1"/>
  </x:cols>
  <x:sheetData>
    <x:row r="1">
      <x:c r="A1" s="73" t="str">
        <x:v>EOS R5 On-Camera Verification Progress</x:v>
      </x:c>
      <x:c r="B1" s="73"/>
      <x:c r="C1" s="73"/>
      <x:c r="D1" s="73"/>
      <x:c r="E1" s="73"/>
      <x:c r="F1" s="73"/>
      <x:c r="G1" s="73"/>
      <x:c r="H1" s="73"/>
    </x:row>
    <x:row r="2">
      <x:c r="A2" s="73"/>
      <x:c r="B2" s="73"/>
      <x:c r="C2" s="73"/>
      <x:c r="D2" s="73"/>
      <x:c r="E2" s="73"/>
      <x:c r="F2" s="73"/>
      <x:c r="G2" s="73"/>
      <x:c r="H2" s="73"/>
    </x:row>
    <x:row r="3">
      <x:c r="A3" s="38" t="str">
        <x:v>Blank master template. Update the Checklist and C1-C3 Registration sheets in a separate working copy. Only Verified, unambiguous results may be promoted to owner-confirmed project status.</x:v>
      </x:c>
      <x:c r="B3" s="38"/>
      <x:c r="C3" s="38"/>
      <x:c r="D3" s="38"/>
      <x:c r="E3" s="38"/>
      <x:c r="F3" s="38"/>
      <x:c r="G3" s="38"/>
      <x:c r="H3" s="38"/>
    </x:row>
    <x:row r="4">
      <x:c r="A4" s="38"/>
      <x:c r="B4" s="38"/>
      <x:c r="C4" s="38"/>
      <x:c r="D4" s="38"/>
      <x:c r="E4" s="38"/>
      <x:c r="F4" s="38"/>
      <x:c r="G4" s="38"/>
      <x:c r="H4" s="38"/>
    </x:row>
    <x:row r="6">
      <x:c r="A6" s="76" t="str">
        <x:v>Total checklist items</x:v>
      </x:c>
      <x:c r="B6" s="76" t="str"/>
      <x:c r="C6" s="78" t="str">
        <x:v>Verified</x:v>
      </x:c>
      <x:c r="D6" s="78" t="str"/>
      <x:c r="E6" s="80" t="str">
        <x:v>In progress / pending</x:v>
      </x:c>
      <x:c r="F6" s="80" t="str"/>
      <x:c r="G6" s="82" t="str">
        <x:v>Needs attention</x:v>
      </x:c>
      <x:c r="H6" s="82" t="str"/>
    </x:row>
    <x:row r="7">
      <x:c r="A7" s="86" t="n">
        <x:f>COUNTA('Checklist'!$A$6:$A$42)</x:f>
        <x:v>37</x:v>
      </x:c>
      <x:c r="B7" s="86"/>
      <x:c r="C7" s="87" t="n">
        <x:f>COUNTIF('Checklist'!$I$6:$I$42,"Verified")</x:f>
        <x:v>0</x:v>
      </x:c>
      <x:c r="D7" s="87"/>
      <x:c r="E7" s="88" t="n">
        <x:f>COUNTIF('Checklist'!$I$6:$I$42,"In progress")+COUNTIF('Checklist'!$I$6:$I$42,"Configured—not registered")+COUNTIF('Checklist'!$I$6:$I$42,"Registered—pending read-back")</x:f>
        <x:v>0</x:v>
      </x:c>
      <x:c r="F7" s="88"/>
      <x:c r="G7" s="89" t="n">
        <x:f>COUNTIF('Checklist'!$I$6:$I$42,"Failed—needs correction")+COUNTIF('Checklist'!$I$6:$I$42,"Inconclusive—needs retest")+COUNTIF('Checklist'!$I$6:$I$42,"Blocked")</x:f>
        <x:v>1</x:v>
      </x:c>
      <x:c r="H7" s="89"/>
    </x:row>
    <x:row r="8">
      <x:c r="A8" s="86"/>
      <x:c r="B8" s="86"/>
      <x:c r="C8" s="87"/>
      <x:c r="D8" s="87"/>
      <x:c r="E8" s="88"/>
      <x:c r="F8" s="88"/>
      <x:c r="G8" s="89"/>
      <x:c r="H8" s="89"/>
    </x:row>
    <x:row r="11">
      <x:c r="A11" s="5" t="str">
        <x:v>Phase</x:v>
      </x:c>
      <x:c r="B11" s="5" t="str">
        <x:v>Total</x:v>
      </x:c>
      <x:c r="C11" s="5" t="str">
        <x:v>Verified</x:v>
      </x:c>
      <x:c r="D11" s="5" t="str">
        <x:v>Attention</x:v>
      </x:c>
      <x:c r="E11" s="5" t="str">
        <x:v>Completion</x:v>
      </x:c>
      <x:c r="F11" t="str"/>
      <x:c r="G11" s="5" t="str">
        <x:v>Status</x:v>
      </x:c>
      <x:c r="H11" s="5" t="str">
        <x:v>Count</x:v>
      </x:c>
    </x:row>
    <x:row r="12">
      <x:c r="A12" t="str">
        <x:v>Camera Setup</x:v>
      </x:c>
      <x:c r="B12" s="91" t="n">
        <x:f>COUNTIF('Checklist'!$C$6:$C$42,A12)</x:f>
        <x:v>11</x:v>
      </x:c>
      <x:c r="C12" s="91" t="n">
        <x:f>COUNTIFS('Checklist'!$C$6:$C$42,A12,'Checklist'!$I$6:$I$42,"Verified")</x:f>
        <x:v>0</x:v>
      </x:c>
      <x:c r="D12" s="91" t="n">
        <x:f>COUNTIFS('Checklist'!$C$6:$C$42,A12,'Checklist'!$I$6:$I$42,"Failed—needs correction")+COUNTIFS('Checklist'!$C$6:$C$42,A12,'Checklist'!$I$6:$I$42,"Inconclusive—needs retest")+COUNTIFS('Checklist'!$C$6:$C$42,A12,'Checklist'!$I$6:$I$42,"Blocked")</x:f>
        <x:v>0</x:v>
      </x:c>
      <x:c r="E12" s="92" t="n">
        <x:f>IF(B12=0,0,(C12+COUNTIFS('Checklist'!$C$6:$C$42,A12,'Checklist'!$I$6:$I$42,"Backup-Settings"))/B12)</x:f>
        <x:v>0</x:v>
      </x:c>
      <x:c r="F12" t="str"/>
      <x:c r="G12" t="str">
        <x:v>Not started</x:v>
      </x:c>
      <x:c r="H12" s="91" t="n">
        <x:f>COUNTIF('Checklist'!$I$6:$I$42,G12)</x:f>
        <x:v>36</x:v>
      </x:c>
    </x:row>
    <x:row r="13">
      <x:c r="A13" t="str">
        <x:v>Controls</x:v>
      </x:c>
      <x:c r="B13" s="91" t="n">
        <x:f>COUNTIF('Checklist'!$C$6:$C$42,A13)</x:f>
        <x:v>6</x:v>
      </x:c>
      <x:c r="C13" s="91" t="n">
        <x:f>COUNTIFS('Checklist'!$C$6:$C$42,A13,'Checklist'!$I$6:$I$42,"Verified")</x:f>
        <x:v>0</x:v>
      </x:c>
      <x:c r="D13" s="91" t="n">
        <x:f>COUNTIFS('Checklist'!$C$6:$C$42,A13,'Checklist'!$I$6:$I$42,"Failed—needs correction")+COUNTIFS('Checklist'!$C$6:$C$42,A13,'Checklist'!$I$6:$I$42,"Inconclusive—needs retest")+COUNTIFS('Checklist'!$C$6:$C$42,A13,'Checklist'!$I$6:$I$42,"Blocked")</x:f>
        <x:v>0</x:v>
      </x:c>
      <x:c r="E13" s="92" t="n">
        <x:f>IF(B13=0,0,(C13+COUNTIFS('Checklist'!$C$6:$C$42,A13,'Checklist'!$I$6:$I$42,"Backup-Settings"))/B13)</x:f>
        <x:v>0</x:v>
      </x:c>
      <x:c r="F13" t="str"/>
      <x:c r="G13" t="str">
        <x:v>In progress</x:v>
      </x:c>
      <x:c r="H13" s="91" t="n">
        <x:f>COUNTIF('Checklist'!$I$6:$I$42,G13)</x:f>
        <x:v>0</x:v>
      </x:c>
    </x:row>
    <x:row r="14">
      <x:c r="A14" t="str">
        <x:v>C1 Wildlife</x:v>
      </x:c>
      <x:c r="B14" s="91" t="n">
        <x:f>COUNTIF('Checklist'!$C$6:$C$42,A14)</x:f>
        <x:v>4</x:v>
      </x:c>
      <x:c r="C14" s="91" t="n">
        <x:f>COUNTIFS('Checklist'!$C$6:$C$42,A14,'Checklist'!$I$6:$I$42,"Verified")</x:f>
        <x:v>0</x:v>
      </x:c>
      <x:c r="D14" s="91" t="n">
        <x:f>COUNTIFS('Checklist'!$C$6:$C$42,A14,'Checklist'!$I$6:$I$42,"Failed—needs correction")+COUNTIFS('Checklist'!$C$6:$C$42,A14,'Checklist'!$I$6:$I$42,"Inconclusive—needs retest")+COUNTIFS('Checklist'!$C$6:$C$42,A14,'Checklist'!$I$6:$I$42,"Blocked")</x:f>
        <x:v>0</x:v>
      </x:c>
      <x:c r="E14" s="92" t="n">
        <x:f>IF(B14=0,0,(C14+COUNTIFS('Checklist'!$C$6:$C$42,A14,'Checklist'!$I$6:$I$42,"Backup-Settings"))/B14)</x:f>
        <x:v>0</x:v>
      </x:c>
      <x:c r="F14" t="str"/>
      <x:c r="G14" t="str">
        <x:v>Configured—not registered</x:v>
      </x:c>
      <x:c r="H14" s="91" t="n">
        <x:f>COUNTIF('Checklist'!$I$6:$I$42,G14)</x:f>
        <x:v>0</x:v>
      </x:c>
    </x:row>
    <x:row r="15">
      <x:c r="A15" t="str">
        <x:v>C2 Birds in Flight</x:v>
      </x:c>
      <x:c r="B15" s="91" t="n">
        <x:f>COUNTIF('Checklist'!$C$6:$C$42,A15)</x:f>
        <x:v>4</x:v>
      </x:c>
      <x:c r="C15" s="91" t="n">
        <x:f>COUNTIFS('Checklist'!$C$6:$C$42,A15,'Checklist'!$I$6:$I$42,"Verified")</x:f>
        <x:v>0</x:v>
      </x:c>
      <x:c r="D15" s="91" t="n">
        <x:f>COUNTIFS('Checklist'!$C$6:$C$42,A15,'Checklist'!$I$6:$I$42,"Failed—needs correction")+COUNTIFS('Checklist'!$C$6:$C$42,A15,'Checklist'!$I$6:$I$42,"Inconclusive—needs retest")+COUNTIFS('Checklist'!$C$6:$C$42,A15,'Checklist'!$I$6:$I$42,"Blocked")</x:f>
        <x:v>0</x:v>
      </x:c>
      <x:c r="E15" s="92" t="n">
        <x:f>IF(B15=0,0,(C15+COUNTIFS('Checklist'!$C$6:$C$42,A15,'Checklist'!$I$6:$I$42,"Backup-Settings"))/B15)</x:f>
        <x:v>0</x:v>
      </x:c>
      <x:c r="F15" t="str"/>
      <x:c r="G15" t="str">
        <x:v>Registered—pending read-back</x:v>
      </x:c>
      <x:c r="H15" s="91" t="n">
        <x:f>COUNTIF('Checklist'!$I$6:$I$42,G15)</x:f>
        <x:v>0</x:v>
      </x:c>
    </x:row>
    <x:row r="16">
      <x:c r="A16" t="str">
        <x:v>C3 Landscape</x:v>
      </x:c>
      <x:c r="B16" s="91" t="n">
        <x:f>COUNTIF('Checklist'!$C$6:$C$42,A16)</x:f>
        <x:v>4</x:v>
      </x:c>
      <x:c r="C16" s="91" t="n">
        <x:f>COUNTIFS('Checklist'!$C$6:$C$42,A16,'Checklist'!$I$6:$I$42,"Verified")</x:f>
        <x:v>0</x:v>
      </x:c>
      <x:c r="D16" s="91" t="n">
        <x:f>COUNTIFS('Checklist'!$C$6:$C$42,A16,'Checklist'!$I$6:$I$42,"Failed—needs correction")+COUNTIFS('Checklist'!$C$6:$C$42,A16,'Checklist'!$I$6:$I$42,"Inconclusive—needs retest")+COUNTIFS('Checklist'!$C$6:$C$42,A16,'Checklist'!$I$6:$I$42,"Blocked")</x:f>
        <x:v>0</x:v>
      </x:c>
      <x:c r="E16" s="92" t="n">
        <x:f>IF(B16=0,0,(C16+COUNTIFS('Checklist'!$C$6:$C$42,A16,'Checklist'!$I$6:$I$42,"Backup-Settings"))/B16)</x:f>
        <x:v>0</x:v>
      </x:c>
      <x:c r="F16" t="str"/>
      <x:c r="G16" t="str">
        <x:v>Backup-Settings</x:v>
      </x:c>
      <x:c r="H16" s="91" t="n">
        <x:f>COUNTIF('Checklist'!$I$6:$I$42,G16)</x:f>
        <x:v>0</x:v>
      </x:c>
    </x:row>
    <x:row r="17">
      <x:c r="A17" t="str">
        <x:v>EFCS Tests</x:v>
      </x:c>
      <x:c r="B17" s="91" t="n">
        <x:f>COUNTIF('Checklist'!$C$6:$C$42,A17)</x:f>
        <x:v>5</x:v>
      </x:c>
      <x:c r="C17" s="91" t="n">
        <x:f>COUNTIFS('Checklist'!$C$6:$C$42,A17,'Checklist'!$I$6:$I$42,"Verified")</x:f>
        <x:v>0</x:v>
      </x:c>
      <x:c r="D17" s="91" t="n">
        <x:f>COUNTIFS('Checklist'!$C$6:$C$42,A17,'Checklist'!$I$6:$I$42,"Failed—needs correction")+COUNTIFS('Checklist'!$C$6:$C$42,A17,'Checklist'!$I$6:$I$42,"Inconclusive—needs retest")+COUNTIFS('Checklist'!$C$6:$C$42,A17,'Checklist'!$I$6:$I$42,"Blocked")</x:f>
        <x:v>0</x:v>
      </x:c>
      <x:c r="E17" s="92" t="n">
        <x:f>IF(B17=0,0,(C17+COUNTIFS('Checklist'!$C$6:$C$42,A17,'Checklist'!$I$6:$I$42,"Backup-Settings"))/B17)</x:f>
        <x:v>0</x:v>
      </x:c>
      <x:c r="F17" t="str"/>
      <x:c r="G17" t="str">
        <x:v>Verified</x:v>
      </x:c>
      <x:c r="H17" s="91" t="n">
        <x:f>COUNTIF('Checklist'!$I$6:$I$42,G17)</x:f>
        <x:v>0</x:v>
      </x:c>
    </x:row>
    <x:row r="18">
      <x:c r="A18" t="str">
        <x:v>Finalization</x:v>
      </x:c>
      <x:c r="B18" s="91" t="n">
        <x:f>COUNTIF('Checklist'!$C$6:$C$42,A18)</x:f>
        <x:v>2</x:v>
      </x:c>
      <x:c r="C18" s="91" t="n">
        <x:f>COUNTIFS('Checklist'!$C$6:$C$42,A18,'Checklist'!$I$6:$I$42,"Verified")</x:f>
        <x:v>0</x:v>
      </x:c>
      <x:c r="D18" s="91" t="n">
        <x:f>COUNTIFS('Checklist'!$C$6:$C$42,A18,'Checklist'!$I$6:$I$42,"Failed—needs correction")+COUNTIFS('Checklist'!$C$6:$C$42,A18,'Checklist'!$I$6:$I$42,"Inconclusive—needs retest")+COUNTIFS('Checklist'!$C$6:$C$42,A18,'Checklist'!$I$6:$I$42,"Blocked")</x:f>
        <x:v>0</x:v>
      </x:c>
      <x:c r="E18" s="92" t="n">
        <x:f>IF(B18=0,0,(C18+COUNTIFS('Checklist'!$C$6:$C$42,A18,'Checklist'!$I$6:$I$42,"Backup-Settings"))/B18)</x:f>
        <x:v>0</x:v>
      </x:c>
      <x:c r="F18" t="str"/>
      <x:c r="G18" t="str">
        <x:v>Failed—needs correction</x:v>
      </x:c>
      <x:c r="H18" s="91" t="n">
        <x:f>COUNTIF('Checklist'!$I$6:$I$42,G18)</x:f>
        <x:v>0</x:v>
      </x:c>
    </x:row>
    <x:row r="19">
      <x:c r="A19" t="str">
        <x:v>Project Update</x:v>
      </x:c>
      <x:c r="B19" s="91" t="n">
        <x:f>COUNTIF('Checklist'!$C$6:$C$42,A19)</x:f>
        <x:v>1</x:v>
      </x:c>
      <x:c r="C19" s="91" t="n">
        <x:f>COUNTIFS('Checklist'!$C$6:$C$42,A19,'Checklist'!$I$6:$I$42,"Verified")</x:f>
        <x:v>0</x:v>
      </x:c>
      <x:c r="D19" s="91" t="n">
        <x:f>COUNTIFS('Checklist'!$C$6:$C$42,A19,'Checklist'!$I$6:$I$42,"Failed—needs correction")+COUNTIFS('Checklist'!$C$6:$C$42,A19,'Checklist'!$I$6:$I$42,"Inconclusive—needs retest")+COUNTIFS('Checklist'!$C$6:$C$42,A19,'Checklist'!$I$6:$I$42,"Blocked")</x:f>
        <x:v>1</x:v>
      </x:c>
      <x:c r="E19" s="92" t="n">
        <x:f>IF(B19=0,0,(C19+COUNTIFS('Checklist'!$C$6:$C$42,A19,'Checklist'!$I$6:$I$42,"Backup-Settings"))/B19)</x:f>
        <x:v>0</x:v>
      </x:c>
      <x:c r="F19" t="str"/>
      <x:c r="G19" t="str">
        <x:v>Inconclusive—needs retest</x:v>
      </x:c>
      <x:c r="H19" s="91" t="n">
        <x:f>COUNTIF('Checklist'!$I$6:$I$42,G19)</x:f>
        <x:v>0</x:v>
      </x:c>
    </x:row>
    <x:row r="20">
      <x:c r="A20" t="str"/>
      <x:c r="B20" s="91" t="str"/>
      <x:c r="C20" s="91" t="str"/>
      <x:c r="D20" s="91" t="str"/>
      <x:c r="E20" s="91" t="str"/>
      <x:c r="F20" t="str"/>
      <x:c r="G20" t="str">
        <x:v>Blocked</x:v>
      </x:c>
      <x:c r="H20" s="91" t="n">
        <x:f>COUNTIF('Checklist'!$I$6:$I$42,G20)</x:f>
        <x:v>1</x:v>
      </x:c>
    </x:row>
    <x:row r="21">
      <x:c r="A21" t="str"/>
      <x:c r="B21" s="91" t="str"/>
      <x:c r="C21" s="91" t="str"/>
      <x:c r="D21" s="91" t="str"/>
      <x:c r="E21" s="91" t="str"/>
      <x:c r="F21" t="str"/>
      <x:c r="G21" t="str">
        <x:v>Not applicable</x:v>
      </x:c>
      <x:c r="H21" s="91" t="n">
        <x:f>COUNTIF('Checklist'!$I$6:$I$42,G21)</x:f>
        <x:v>0</x:v>
      </x:c>
    </x:row>
    <x:row r="23">
      <x:c r="A23" s="93" t="str">
        <x:v>Recommended workflow</x:v>
      </x:c>
      <x:c r="B23" s="93"/>
      <x:c r="C23" s="93"/>
      <x:c r="D23" s="93"/>
      <x:c r="E23" s="93"/>
      <x:c r="F23" s="93"/>
      <x:c r="G23" s="93"/>
      <x:c r="H23" s="93"/>
    </x:row>
    <x:row r="24">
      <x:c r="A24" s="97" t="str">
        <x:v>1. Save the starting camera configuration and document C1–C3.
2. Disable Auto update, then configure and verify the SWITCH and AF Case My Menu tabs.
3. Save Backup-Settings checkpoints after shared setup/controls and after C1–C3 read-back.
4. Work through Checklist in Sequence order and use one Session ID per camera session.
5. Filter Project Update? = Yes and Status = Verified before changing project evidence states.</x:v>
      </x:c>
      <x:c r="B24" s="97"/>
      <x:c r="C24" s="97"/>
      <x:c r="D24" s="97"/>
      <x:c r="E24" s="97"/>
      <x:c r="F24" s="97"/>
      <x:c r="G24" s="97"/>
      <x:c r="H24" s="97"/>
    </x:row>
    <x:row r="25">
      <x:c r="A25" s="97"/>
      <x:c r="B25" s="97"/>
      <x:c r="C25" s="97"/>
      <x:c r="D25" s="97"/>
      <x:c r="E25" s="97"/>
      <x:c r="F25" s="97"/>
      <x:c r="G25" s="97"/>
      <x:c r="H25" s="97"/>
    </x:row>
    <x:row r="26">
      <x:c r="A26" s="97"/>
      <x:c r="B26" s="97"/>
      <x:c r="C26" s="97"/>
      <x:c r="D26" s="97"/>
      <x:c r="E26" s="97"/>
      <x:c r="F26" s="97"/>
      <x:c r="G26" s="97"/>
      <x:c r="H26" s="97"/>
    </x:row>
    <x:row r="27">
      <x:c r="A27" s="97"/>
      <x:c r="B27" s="97"/>
      <x:c r="C27" s="97"/>
      <x:c r="D27" s="97"/>
      <x:c r="E27" s="97"/>
      <x:c r="F27" s="97"/>
      <x:c r="G27" s="97"/>
      <x:c r="H27" s="97"/>
    </x:row>
    <x:row r="28">
      <x:c r="A28" s="97"/>
      <x:c r="B28" s="97"/>
      <x:c r="C28" s="97"/>
      <x:c r="D28" s="97"/>
      <x:c r="E28" s="97"/>
      <x:c r="F28" s="97"/>
      <x:c r="G28" s="97"/>
      <x:c r="H28" s="97"/>
    </x:row>
  </x:sheetData>
  <x:mergeCells>
    <x:mergeCell ref="A1:H2"/>
    <x:mergeCell ref="A3:H4"/>
    <x:mergeCell ref="A23:H23"/>
    <x:mergeCell ref="A24:H28"/>
  </x:mergeCells>
  <x:conditionalFormatting sqref="C7:C7">
    <x:cfRule type="cellIs" dxfId="9" priority="1" operator="greaterThanOrEqual">
      <x:formula>0</x:formula>
    </x:cfRule>
  </x:conditionalFormatting>
  <x:conditionalFormatting sqref="E7:E7">
    <x:cfRule type="cellIs" dxfId="10" priority="2" operator="greaterThanOrEqual">
      <x:formula>0</x:formula>
    </x:cfRule>
  </x:conditionalFormatting>
  <x:conditionalFormatting sqref="G7:G7">
    <x:cfRule type="cellIs" dxfId="11" priority="3" operator="greaterThanOrEqual">
      <x:formula>0</x:formula>
    </x:cfRule>
  </x:conditionalFormatting>
  <x:conditionalFormatting sqref="E12:E19">
    <x:cfRule type="cellIs" dxfId="12" priority="4" operator="equal">
      <x:formula>1</x:formula>
    </x:cfRule>
    <x:cfRule type="cellIs" dxfId="13" priority="5" operator="between">
      <x:formula>0.0001</x:formula>
      <x:formula>0.9999</x:formula>
    </x:cfRule>
    <x:cfRule type="cellIs" dxfId="14" priority="6" operator="equal">
      <x:formula>0</x:formula>
    </x:cfRule>
  </x:conditionalFormatting>
  <x:pageMargins left="0.7" right="0.7" top="0.75" bottom="0.75" header="0.3" footer="0.3"/>
</x:worksheet>
</file>

<file path=xl/worksheets/sheet2.xml><?xml version="1.0" encoding="utf-8"?>
<x:worksheet xmlns:ns1="http://schemas.openxmlformats.org/officeDocument/2006/relationships" xmlns:x="http://schemas.openxmlformats.org/spreadsheetml/2006/main">
  <x:sheetViews>
    <x:sheetView showGridLines="0" workbookViewId="0">
      <x:pane xSplit="1" ySplit="5" topLeftCell="B6" activePane="bottomRight" state="frozen"/>
      <x:selection pane="bottomRight" activeCell="B6" sqref="B6"/>
    </x:sheetView>
  </x:sheetViews>
  <x:sheetFormatPr defaultRowHeight="15"/>
  <x:cols>
    <x:col min="1" max="1" width="14.779999732971191" hidden="0" customWidth="1"/>
    <x:col min="2" max="2" width="7.440000057220459" hidden="0" customWidth="1"/>
    <x:col min="3" max="3" width="13.220000267028809" hidden="0" customWidth="1"/>
    <x:col min="4" max="4" width="16.329999923706055" hidden="0" customWidth="1"/>
    <x:col min="5" max="5" width="14.779999732971191" hidden="0" customWidth="1"/>
    <x:col min="6" max="6" width="17.780000686645508" hidden="0" customWidth="1"/>
    <x:col min="7" max="7" width="13.890000343322754" hidden="0" customWidth="1"/>
    <x:col min="8" max="8" width="25.780000686645508" hidden="0" customWidth="1"/>
    <x:col min="9" max="9" width="13.5600004196167" hidden="0" customWidth="1"/>
    <x:col min="10" max="10" width="12.4399995803833" hidden="0" customWidth="1"/>
    <x:col min="11" max="11" width="14.220000267028809" hidden="0" customWidth="1"/>
    <x:col min="12" max="12" width="21.329999923706055" hidden="0" customWidth="1"/>
    <x:col min="13" max="13" width="37.33000183105469" hidden="0" customWidth="1"/>
    <x:col min="14" max="14" width="37.33000183105469" hidden="0" customWidth="1"/>
    <x:col min="15" max="15" width="30.219999313354492" hidden="0" customWidth="1"/>
    <x:col min="16" max="16" width="16" hidden="0" customWidth="1"/>
    <x:col min="17" max="17" width="35.560001373291016" hidden="0" customWidth="1"/>
    <x:col min="18" max="18" width="17.780000686645508" hidden="0" customWidth="1"/>
  </x:cols>
  <x:sheetData>
    <x:row r="1" ht="31.5" customHeight="1"/>
    <x:row r="2" ht="30" customHeight="1"/>
    <x:row r="3" ht="33" customHeight="1"/>
    <x:row r="4" ht="9" customHeight="1"/>
    <x:row r="5" hidden="0">
      <x:c r="A5" s="5" t="str">
        <x:v>Test ID</x:v>
      </x:c>
      <x:c r="B5" s="5" t="str">
        <x:v>Sequence</x:v>
      </x:c>
      <x:c r="C5" s="5" t="str">
        <x:v>Phase</x:v>
      </x:c>
      <x:c r="D5" s="5" t="str">
        <x:v>Expected Result</x:v>
      </x:c>
      <x:c r="E5" s="5" t="str">
        <x:v>Task</x:v>
      </x:c>
      <x:c r="F5" s="5" t="str">
        <x:v>Best Access</x:v>
      </x:c>
      <x:c r="G5" s="5" t="str">
        <x:v>Menu Location</x:v>
      </x:c>
      <x:c r="H5" s="5" t="str">
        <x:v>Menu Detail</x:v>
      </x:c>
      <x:c r="I5" s="5" t="str">
        <x:v>Status</x:v>
      </x:c>
      <x:c r="J5" s="5" t="str">
        <x:v>Test Date</x:v>
      </x:c>
      <x:c r="K5" s="5" t="str">
        <x:v>Session ID</x:v>
      </x:c>
      <x:c r="L5" s="5" t="str">
        <x:v>Evidence Files</x:v>
      </x:c>
      <x:c r="M5" s="5" t="str">
        <x:v>Observation</x:v>
      </x:c>
      <x:c r="N5" s="5" t="str">
        <x:v>Next Action</x:v>
      </x:c>
      <x:c r="O5" s="5" t="str">
        <x:v>Evidence Class</x:v>
      </x:c>
      <x:c r="P5" s="5" t="str">
        <x:v>Project Update?</x:v>
      </x:c>
      <x:c r="Q5" s="5" t="str">
        <x:v>Target Project Files</x:v>
      </x:c>
      <x:c r="R5" s="5" t="str">
        <x:v>Updated in Project</x:v>
      </x:c>
    </x:row>
    <x:row r="6" hidden="0">
      <x:c r="A6" s="17" t="str">
        <x:v>SETUP-01</x:v>
      </x:c>
      <x:c r="B6" s="17" t="n">
        <x:v>1</x:v>
      </x:c>
      <x:c r="C6" s="22" t="str">
        <x:v>Camera Setup</x:v>
      </x:c>
      <x:c r="D6" s="15" t="str">
        <x:v>A recoverable pre-test camera-settings file exists and its filename is recorded.</x:v>
      </x:c>
      <x:c r="E6" s="15" t="str">
        <x:v>Save the current complete camera configuration to the card.</x:v>
      </x:c>
      <x:c r="F6" s="13" t="str">
        <x:f>IFERROR(VLOOKUP($A6,'Menu'!$A$2:$E$38,2,FALSE),"")</x:f>
        <x:v>MENU</x:v>
      </x:c>
      <x:c r="G6" s="29" t="str">
        <x:f>IFERROR(VLOOKUP($A6,'Menu'!$A$2:$E$38,3,FALSE),"")</x:f>
        <x:v>Set-up 5</x:v>
      </x:c>
      <x:c r="H6" s="15" t="str">
        <x:f>IFERROR(VLOOKUP($A6,'Menu'!$A$2:$E$38,4,FALSE),"")</x:f>
        <x:v>Save/load cam settings on card &gt; Save to card</x:v>
      </x:c>
      <x:c r="I6" s="13" t="str">
        <x:v>Not started</x:v>
      </x:c>
      <x:c r="J6" s="30" t="str"/>
      <x:c r="K6" s="17" t="str"/>
      <x:c r="L6" s="15" t="str"/>
      <x:c r="M6" s="15" t="str"/>
      <x:c r="N6" s="15" t="str">
        <x:v>Insert card and save the current configuration.</x:v>
      </x:c>
      <x:c r="O6" s="15" t="str">
        <x:v>Approved target pending verification</x:v>
      </x:c>
      <x:c r="P6" s="17" t="str">
        <x:v>No</x:v>
      </x:c>
      <x:c r="Q6" s="15" t="str"/>
      <x:c r="R6" s="17" t="str">
        <x:v>Not applicable</x:v>
      </x:c>
    </x:row>
    <x:row r="7" hidden="0">
      <x:c r="A7" s="17" t="str">
        <x:v>SETUP-02</x:v>
      </x:c>
      <x:c r="B7" s="17" t="n">
        <x:v>2</x:v>
      </x:c>
      <x:c r="C7" s="22" t="str">
        <x:v>Camera Setup</x:v>
      </x:c>
      <x:c r="D7" s="15" t="str">
        <x:v>Existing registrations are documented before any slot is overwritten.</x:v>
      </x:c>
      <x:c r="E7" s="15" t="str">
        <x:v>Record current C1, C2, and C3 contents before changing them.</x:v>
      </x:c>
      <x:c r="F7" s="13" t="str">
        <x:f>IFERROR(VLOOKUP($A7,'Menu'!$A$2:$E$38,2,FALSE),"")</x:f>
        <x:v>M-Fn recall; photograph or record</x:v>
      </x:c>
      <x:c r="G7" s="29" t="str">
        <x:f>IFERROR(VLOOKUP($A7,'Menu'!$A$2:$E$38,3,FALSE),"")</x:f>
        <x:v>No menu</x:v>
      </x:c>
      <x:c r="H7" s="15" t="str">
        <x:f>IFERROR(VLOOKUP($A7,'Menu'!$A$2:$E$38,4,FALSE),"")</x:f>
        <x:v>Recall C1, C2, and C3 and photograph or record their settings</x:v>
      </x:c>
      <x:c r="I7" s="13" t="str">
        <x:v>Not started</x:v>
      </x:c>
      <x:c r="J7" s="30" t="str"/>
      <x:c r="K7" s="17" t="str"/>
      <x:c r="L7" s="15" t="str"/>
      <x:c r="M7" s="15" t="str"/>
      <x:c r="N7" s="15" t="str">
        <x:v>Photograph or write down all three current slots.</x:v>
      </x:c>
      <x:c r="O7" s="15" t="str">
        <x:v>Approved target pending verification</x:v>
      </x:c>
      <x:c r="P7" s="17" t="str">
        <x:v>No</x:v>
      </x:c>
      <x:c r="Q7" s="15" t="str"/>
      <x:c r="R7" s="17" t="str">
        <x:v>Not applicable</x:v>
      </x:c>
    </x:row>
    <x:row r="8" hidden="0">
      <x:c r="A8" s="17" t="str">
        <x:v>SETUP-03</x:v>
      </x:c>
      <x:c r="B8" s="17" t="n">
        <x:v>3</x:v>
      </x:c>
      <x:c r="C8" s="22" t="str">
        <x:v>Camera Setup</x:v>
      </x:c>
      <x:c r="D8" s="15" t="str">
        <x:v>Temporary field changes cannot silently rewrite a registered custom mode.</x:v>
      </x:c>
      <x:c r="E8" s="15" t="str">
        <x:v>Set Custom shooting mode Auto update to Disable.</x:v>
      </x:c>
      <x:c r="F8" s="13" t="str">
        <x:f>IFERROR(VLOOKUP($A8,'Menu'!$A$2:$E$38,2,FALSE),"")</x:f>
        <x:v>MENU</x:v>
      </x:c>
      <x:c r="G8" s="29" t="str">
        <x:f>IFERROR(VLOOKUP($A8,'Menu'!$A$2:$E$38,3,FALSE),"")</x:f>
        <x:v>Set-up 5</x:v>
      </x:c>
      <x:c r="H8" s="15" t="str">
        <x:f>IFERROR(VLOOKUP($A8,'Menu'!$A$2:$E$38,4,FALSE),"")</x:f>
        <x:v>Custom shooting mode (C1-C3) &gt; Auto update set. &gt; Disable</x:v>
      </x:c>
      <x:c r="I8" s="13" t="str">
        <x:v>Not started</x:v>
      </x:c>
      <x:c r="J8" s="30" t="str"/>
      <x:c r="K8" s="17" t="str"/>
      <x:c r="L8" s="15" t="str"/>
      <x:c r="M8" s="15" t="str">
        <x:v>Auto update must remain disabled throughout.</x:v>
      </x:c>
      <x:c r="N8" s="15" t="str">
        <x:v>Open the Custom shooting mode menu and disable Auto update.</x:v>
      </x:c>
      <x:c r="O8" s="15" t="str">
        <x:v>Approved target pending verification</x:v>
      </x:c>
      <x:c r="P8" s="17" t="str">
        <x:v>Yes</x:v>
      </x:c>
      <x:c r="Q8" s="15" t="str">
        <x:v>controls.md; Camera Setup Essentials; project memory</x:v>
      </x:c>
      <x:c r="R8" s="17" t="str">
        <x:v>No</x:v>
      </x:c>
    </x:row>
    <x:row r="9" hidden="0">
      <x:c r="A9" s="17" t="str">
        <x:v>SETUP-MM-01</x:v>
      </x:c>
      <x:c r="B9" s="17" t="n">
        <x:v>4</x:v>
      </x:c>
      <x:c r="C9" s="22" t="str">
        <x:v>Camera Setup</x:v>
      </x:c>
      <x:c r="D9" s="15" t="str">
        <x:v>The approved SWITCH My Menu tab exists with its five shortcuts in the correct order and retains one open position.</x:v>
      </x:c>
      <x:c r="E9" s="15" t="str">
        <x:v>Configure and verify My Menu: SWITCH before profile registration.</x:v>
      </x:c>
      <x:c r="F9" s="13" t="str">
        <x:f>IFERROR(VLOOKUP($A9,'Menu'!$A$2:$E$38,2,FALSE),"")</x:f>
        <x:v>My Menu</x:v>
      </x:c>
      <x:c r="G9" s="29" t="str">
        <x:f>IFERROR(VLOOKUP($A9,'Menu'!$A$2:$E$38,3,FALSE),"")</x:f>
        <x:v>My Menu</x:v>
      </x:c>
      <x:c r="H9" s="15" t="str">
        <x:f>IFERROR(VLOOKUP($A9,'Menu'!$A$2:$E$38,4,FALSE),"")</x:f>
        <x:v>Create tab SWITCH; register Subject to detect, Shutter mode, Focus bracketing, IS (Image Stabilizer) mode, and Cropping/aspect ratio in order; leave position 6 open.</x:v>
      </x:c>
      <x:c r="I9" s="13" t="str">
        <x:v>Not started</x:v>
      </x:c>
      <x:c r="J9" s="30" t="str"/>
      <x:c r="K9" s="17" t="str"/>
      <x:c r="L9" s="15" t="str"/>
      <x:c r="M9" s="15" t="str"/>
      <x:c r="N9" s="15" t="str">
        <x:v>Configure SWITCH before shared defaults, controls, or C1–C3 registration.</x:v>
      </x:c>
      <x:c r="O9" s="15" t="str">
        <x:v>Approved target pending verification</x:v>
      </x:c>
      <x:c r="P9" s="17" t="str">
        <x:v>Yes</x:v>
      </x:c>
      <x:c r="Q9" s="15" t="str">
        <x:v>00 Master/setting_access.yaml; controls.md; Back-Button AF guide; project memory</x:v>
      </x:c>
      <x:c r="R9" s="17" t="str">
        <x:v>No</x:v>
      </x:c>
    </x:row>
    <x:row r="10" hidden="0">
      <x:c r="A10" s="17" t="str">
        <x:v>SETUP-MM-AF-01</x:v>
      </x:c>
      <x:c r="B10" s="17" t="n">
        <x:v>5</x:v>
      </x:c>
      <x:c r="C10" s="22" t="str">
        <x:v>Camera Setup</x:v>
      </x:c>
      <x:c r="D10" s="15" t="str">
        <x:v>The approved AF Case My Menu tab exists with all four shortcuts in the correct order, Servo AF opens the complete Case selector without changing AF Operation, and Switching tracked subjects opens the AF4 control.</x:v>
      </x:c>
      <x:c r="E10" s="15" t="str">
        <x:v>Configure and verify My Menu: AF Case before shared setup or profile registration.</x:v>
      </x:c>
      <x:c r="F10" s="13" t="str">
        <x:f>IFERROR(VLOOKUP($A10,'Menu'!$A$2:$E$38,2,FALSE),"")</x:f>
        <x:v>My Menu</x:v>
      </x:c>
      <x:c r="G10" s="29" t="str">
        <x:f>IFERROR(VLOOKUP($A10,'Menu'!$A$2:$E$38,3,FALSE),"")</x:f>
        <x:v>My Menu</x:v>
      </x:c>
      <x:c r="H10" s="15" t="str">
        <x:f>IFERROR(VLOOKUP($A10,'Menu'!$A$2:$E$38,4,FALSE),"")</x:f>
        <x:v>Create tab AF Case; register Servo AF, Tracking Sensitivity, Accel./Decel. tracking, and Switching tracked subjects in order; confirm Servo AF opens the complete Case 1–4 / Case A selector without changing AF Operation and Switching tracked subjects opens the AF4 Initial priority / On subject / Switch subject control.</x:v>
      </x:c>
      <x:c r="I10" s="13" t="str">
        <x:v>Not started</x:v>
      </x:c>
      <x:c r="J10" s="30" t="str"/>
      <x:c r="K10" s="17" t="str"/>
      <x:c r="L10" s="15" t="str"/>
      <x:c r="M10" s="15" t="str"/>
      <x:c r="N10" s="15" t="str">
        <x:v>Configure AF Case immediately after SWITCH and before shared defaults, controls, or C1–C3 registration.</x:v>
      </x:c>
      <x:c r="O10" s="15" t="str">
        <x:v>Approved target pending verification</x:v>
      </x:c>
      <x:c r="P10" s="17" t="str">
        <x:v>Yes</x:v>
      </x:c>
      <x:c r="Q10" s="15" t="str">
        <x:v>00 Master/setting_access.yaml; controls.md; Back-Button AF guide; project memory</x:v>
      </x:c>
      <x:c r="R10" s="17" t="str">
        <x:v>No</x:v>
      </x:c>
    </x:row>
    <x:row r="11" hidden="0">
      <x:c r="A11" s="17" t="str">
        <x:v>SETUP-04</x:v>
      </x:c>
      <x:c r="B11" s="17" t="n">
        <x:v>6</x:v>
      </x:c>
      <x:c r="C11" s="22" t="str">
        <x:v>Camera Setup</x:v>
      </x:c>
      <x:c r="D11" s="15" t="str">
        <x:v>Shared operational defaults match the general-purpose reference baseline; the separate custom Case 1 preset is ready for C1 registration.</x:v>
      </x:c>
      <x:c r="E11" s="15" t="str">
        <x:v>Confirm Fv, shutter and aperture Auto, Auto ISO maximum 12800, Servo AF with Case A (Auto) and automatic parameters, Switching tracked subjects On subject, Face + Tracking, Animals, Eye Detection Enable, High Speed Continuous, High speed display Enable, EFCS, Mode 1, cRAW, Full-frame, and Evaluative metering. Configure Case 1 separately to Tracking Sensitivity -1 and Accel./Decel. tracking +1, noting that Canon's factory Case 1 is 0 / 0.</x:v>
      </x:c>
      <x:c r="F11" s="13" t="str">
        <x:f>IFERROR(VLOOKUP($A11,'Menu'!$A$2:$E$38,2,FALSE),"")</x:f>
        <x:v>Q screen; direct exposure controls; AF Point Selection button; MM-SWITCH for Subject to detect, Shutter mode, and Cropping/aspect ratio; MM-AF Case for Servo AF Case, parameters, and subject switching; Shooting 7 for High speed display</x:v>
      </x:c>
      <x:c r="G11" s="29" t="str">
        <x:f>IFERROR(VLOOKUP($A11,'Menu'!$A$2:$E$38,3,FALSE),"")</x:f>
        <x:v>Multiple</x:v>
      </x:c>
      <x:c r="H11" s="15" t="str">
        <x:f>IFERROR(VLOOKUP($A11,'Menu'!$A$2:$E$38,4,FALSE),"")</x:f>
        <x:v>Direct/Q: Fv, shutter Auto, aperture Auto, Auto ISO, Servo AF, High Speed Continuous, Evaluative metering; AF1: AF method, Subject to detect, Eye detection; My Menu AF Case or AF3: baseline Case A with automatic parameters, plus configure Case 1 to -1 / +1 without leaving it selected for the baseline; My Menu AF Case or AF4: Switching tracked subjects On subject; Shooting 1: Image quality and Cropping/aspect ratio; Shooting 2: ISO speed settings; Shooting 6: Shutter mode; Shooting 7: High speed display Enable; Shooting menu: IS (Image Stabilizer) mode</x:v>
      </x:c>
      <x:c r="I11" s="13" t="str">
        <x:v>Not started</x:v>
      </x:c>
      <x:c r="J11" s="30" t="str"/>
      <x:c r="K11" s="17" t="str"/>
      <x:c r="L11" s="15" t="str"/>
      <x:c r="M11" s="15" t="str"/>
      <x:c r="N11" s="15" t="str">
        <x:v>Check Camera Setup Essentials and Camera Defaults.</x:v>
      </x:c>
      <x:c r="O11" s="15" t="str">
        <x:v>Approved target pending verification</x:v>
      </x:c>
      <x:c r="P11" s="17" t="str">
        <x:v>Yes</x:v>
      </x:c>
      <x:c r="Q11" s="15" t="str">
        <x:v>00 Master/baseline.yaml; Camera Setup Essentials</x:v>
      </x:c>
      <x:c r="R11" s="17" t="str">
        <x:v>No</x:v>
      </x:c>
    </x:row>
    <x:row r="12" hidden="0">
      <x:c r="A12" s="17" t="str">
        <x:v>SETUP-05</x:v>
      </x:c>
      <x:c r="B12" s="17" t="n">
        <x:v>7</x:v>
      </x:c>
      <x:c r="C12" s="22" t="str">
        <x:v>Camera Setup</x:v>
      </x:c>
      <x:c r="D12" s="15" t="str">
        <x:v>Exposure review tools are available in every profile.</x:v>
      </x:c>
      <x:c r="E12" s="15" t="str">
        <x:v>Confirm RGB histogram and highlight alert are enabled.</x:v>
      </x:c>
      <x:c r="F12" s="13" t="str">
        <x:f>IFERROR(VLOOKUP($A12,'Menu'!$A$2:$E$38,2,FALSE),"")</x:f>
        <x:v>MENU</x:v>
      </x:c>
      <x:c r="G12" s="29" t="str">
        <x:f>IFERROR(VLOOKUP($A12,'Menu'!$A$2:$E$38,3,FALSE),"")</x:f>
        <x:v>Multiple</x:v>
      </x:c>
      <x:c r="H12" s="15" t="str">
        <x:f>IFERROR(VLOOKUP($A12,'Menu'!$A$2:$E$38,4,FALSE),"")</x:f>
        <x:v>Shooting 7: Shooting info. disp. &gt; Screen info. settings &gt; Histogram &gt; RGB; Playback 5: Highlight alert &gt; Enable</x:v>
      </x:c>
      <x:c r="I12" s="13" t="str">
        <x:v>Not started</x:v>
      </x:c>
      <x:c r="J12" s="30" t="str"/>
      <x:c r="K12" s="17" t="str"/>
      <x:c r="L12" s="15" t="str"/>
      <x:c r="M12" s="15" t="str"/>
      <x:c r="N12" s="15" t="str">
        <x:v>Check display settings.</x:v>
      </x:c>
      <x:c r="O12" s="15" t="str">
        <x:v>Approved target pending verification</x:v>
      </x:c>
      <x:c r="P12" s="17" t="str">
        <x:v>Yes</x:v>
      </x:c>
      <x:c r="Q12" s="15" t="str">
        <x:v>00 Master/baseline.yaml; Camera Setup Essentials</x:v>
      </x:c>
      <x:c r="R12" s="17" t="str">
        <x:v>No</x:v>
      </x:c>
    </x:row>
    <x:row r="13" hidden="0">
      <x:c r="A13" s="17" t="str">
        <x:v>SETUP-06</x:v>
      </x:c>
      <x:c r="B13" s="17" t="n">
        <x:v>8</x:v>
      </x:c>
      <x:c r="C13" s="22" t="str">
        <x:v>Camera Setup</x:v>
      </x:c>
      <x:c r="D13" s="15" t="str">
        <x:v>Specialty functions do not interfere with the verification session.</x:v>
      </x:c>
      <x:c r="E13" s="15" t="str">
        <x:v>Confirm High ISO NR, Long Exposure NR, Continuous AF, Electronic full-time MF, and IBIS High Resolution Shot are Off.</x:v>
      </x:c>
      <x:c r="F13" s="13" t="str">
        <x:f>IFERROR(VLOOKUP($A13,'Menu'!$A$2:$E$38,2,FALSE),"")</x:f>
        <x:v>MENU</x:v>
      </x:c>
      <x:c r="G13" s="29" t="str">
        <x:f>IFERROR(VLOOKUP($A13,'Menu'!$A$2:$E$38,3,FALSE),"")</x:f>
        <x:v>Multiple</x:v>
      </x:c>
      <x:c r="H13" s="15" t="str">
        <x:f>IFERROR(VLOOKUP($A13,'Menu'!$A$2:$E$38,4,FALSE),"")</x:f>
        <x:v>Shooting 4: Long exp. noise reduction and High ISO speed NR; AF1: Continuous AF; AF menu: Lens electronic MF; Shooting 5: IBIS High resolution shot</x:v>
      </x:c>
      <x:c r="I13" s="13" t="str">
        <x:v>Not started</x:v>
      </x:c>
      <x:c r="J13" s="30" t="str"/>
      <x:c r="K13" s="17" t="str"/>
      <x:c r="L13" s="15" t="str"/>
      <x:c r="M13" s="15" t="str"/>
      <x:c r="N13" s="15" t="str">
        <x:v>Review Set &amp; Forget settings.</x:v>
      </x:c>
      <x:c r="O13" s="15" t="str">
        <x:v>Approved target pending verification</x:v>
      </x:c>
      <x:c r="P13" s="17" t="str">
        <x:v>Yes</x:v>
      </x:c>
      <x:c r="Q13" s="15" t="str">
        <x:v>00 Master/baseline.yaml; Camera Setup Essentials</x:v>
      </x:c>
      <x:c r="R13" s="17" t="str">
        <x:v>No</x:v>
      </x:c>
    </x:row>
    <x:row r="14" hidden="0">
      <x:c r="A14" s="17" t="str">
        <x:v>SETUP-07</x:v>
      </x:c>
      <x:c r="B14" s="17" t="n">
        <x:v>9</x:v>
      </x:c>
      <x:c r="C14" s="22" t="str">
        <x:v>Camera Setup</x:v>
      </x:c>
      <x:c r="D14" s="15" t="str">
        <x:v>Manual-focus aid matches the approved setup.</x:v>
      </x:c>
      <x:c r="E14" s="15" t="str">
        <x:v>Confirm MF Peaking is On, Low, Red.</x:v>
      </x:c>
      <x:c r="F14" s="13" t="str">
        <x:f>IFERROR(VLOOKUP($A14,'Menu'!$A$2:$E$38,2,FALSE),"")</x:f>
        <x:v>MENU</x:v>
      </x:c>
      <x:c r="G14" s="29" t="str">
        <x:f>IFERROR(VLOOKUP($A14,'Menu'!$A$2:$E$38,3,FALSE),"")</x:f>
        <x:v>AF menu</x:v>
      </x:c>
      <x:c r="H14" s="15" t="str">
        <x:f>IFERROR(VLOOKUP($A14,'Menu'!$A$2:$E$38,4,FALSE),"")</x:f>
        <x:v>MF peaking settings &gt; Peaking: On; Level: Low; Color: Red</x:v>
      </x:c>
      <x:c r="I14" s="13" t="str">
        <x:v>Not started</x:v>
      </x:c>
      <x:c r="J14" s="30" t="str"/>
      <x:c r="K14" s="17" t="str"/>
      <x:c r="L14" s="15" t="str"/>
      <x:c r="M14" s="15" t="str"/>
      <x:c r="N14" s="15" t="str">
        <x:v>Review MF Peaking settings.</x:v>
      </x:c>
      <x:c r="O14" s="15" t="str">
        <x:v>Approved target pending verification</x:v>
      </x:c>
      <x:c r="P14" s="17" t="str">
        <x:v>Yes</x:v>
      </x:c>
      <x:c r="Q14" s="15" t="str">
        <x:v>Camera Setup Essentials; R5 Quick Reference</x:v>
      </x:c>
      <x:c r="R14" s="17" t="str">
        <x:v>No</x:v>
      </x:c>
    </x:row>
    <x:row r="15" hidden="0">
      <x:c r="A15" s="17" t="str">
        <x:v>CTRL-CONFIG-01</x:v>
      </x:c>
      <x:c r="B15" s="17" t="n">
        <x:v>10</x:v>
      </x:c>
      <x:c r="C15" s="22" t="str">
        <x:v>Controls</x:v>
      </x:c>
      <x:c r="D15" s="15" t="str">
        <x:v>Every shared physical control matches the approved assignment and INFO details.</x:v>
      </x:c>
      <x:c r="E15" s="15" t="str">
        <x:v>Configure shutter half-press, AF-ON, AE Lock, AF Point Selection, Lens AF, DOF, SET, joystick, dials, Control Ring, and M-Fn.</x:v>
      </x:c>
      <x:c r="F15" s="13" t="str">
        <x:f>IFERROR(VLOOKUP($A15,'Menu'!$A$2:$E$38,2,FALSE),"")</x:f>
        <x:v>Physical controls; MENU</x:v>
      </x:c>
      <x:c r="G15" s="29" t="str">
        <x:f>IFERROR(VLOOKUP($A15,'Menu'!$A$2:$E$38,3,FALSE),"")</x:f>
        <x:v>Custom Functions 3</x:v>
      </x:c>
      <x:c r="H15" s="15" t="str">
        <x:f>IFERROR(VLOOKUP($A15,'Menu'!$A$2:$E$38,4,FALSE),"")</x:f>
        <x:v>Customize buttons and Customize dials; use Customize buttons for shutter half-press, AF-ON, AE Lock, AF Point Selection, lens AF, DOF, SET, joystick, and M-Fn</x:v>
      </x:c>
      <x:c r="I15" s="13" t="str">
        <x:v>Not started</x:v>
      </x:c>
      <x:c r="J15" s="30" t="str"/>
      <x:c r="K15" s="17" t="str"/>
      <x:c r="L15" s="15" t="str"/>
      <x:c r="M15" s="15" t="str"/>
      <x:c r="N15" s="15" t="str">
        <x:v>Configure each control before registering C1.</x:v>
      </x:c>
      <x:c r="O15" s="15" t="str">
        <x:v>Approved target pending verification</x:v>
      </x:c>
      <x:c r="P15" s="17" t="str">
        <x:v>Yes</x:v>
      </x:c>
      <x:c r="Q15" s="15" t="str">
        <x:v>controls.md; data/canon_r5_custom_controls_current.yaml; Back-Button AF guide</x:v>
      </x:c>
      <x:c r="R15" s="17" t="str">
        <x:v>No</x:v>
      </x:c>
    </x:row>
    <x:row r="16" hidden="0">
      <x:c r="A16" s="17" t="str">
        <x:v>BACKUP-SET-01</x:v>
      </x:c>
      <x:c r="B16" s="17" t="n">
        <x:v>11</x:v>
      </x:c>
      <x:c r="C16" s="22" t="str">
        <x:v>Camera Setup</x:v>
      </x:c>
      <x:c r="D16" s="15" t="str">
        <x:v>A recoverable checkpoint exists after shared settings, SWITCH, AF Case, and physical controls are configured.</x:v>
      </x:c>
      <x:c r="E16" s="15" t="str">
        <x:v>Save a checkpoint copy of the complete camera configuration and record it in Sessions.</x:v>
      </x:c>
      <x:c r="F16" s="13" t="str">
        <x:f>IFERROR(VLOOKUP($A16,'Menu'!$A$2:$E$38,2,FALSE),"")</x:f>
        <x:v>MENU</x:v>
      </x:c>
      <x:c r="G16" s="29" t="str">
        <x:f>IFERROR(VLOOKUP($A16,'Menu'!$A$2:$E$38,3,FALSE),"")</x:f>
        <x:v>Set-up 5</x:v>
      </x:c>
      <x:c r="H16" s="15" t="str">
        <x:f>IFERROR(VLOOKUP($A16,'Menu'!$A$2:$E$38,4,FALSE),"")</x:f>
        <x:v>Save/load cam settings on card &gt; Save to card</x:v>
      </x:c>
      <x:c r="I16" s="13" t="str">
        <x:v>Not started</x:v>
      </x:c>
      <x:c r="J16" s="30" t="str"/>
      <x:c r="K16" s="17" t="str"/>
      <x:c r="L16" s="15" t="str"/>
      <x:c r="M16" s="15" t="str"/>
      <x:c r="N16" s="15" t="str">
        <x:v>After saving, set Status to Backup-Settings before configuring C1.</x:v>
      </x:c>
      <x:c r="O16" s="15" t="str">
        <x:v>Approved target pending verification</x:v>
      </x:c>
      <x:c r="P16" s="17" t="str">
        <x:v>No</x:v>
      </x:c>
      <x:c r="Q16" s="15" t="str"/>
      <x:c r="R16" s="17" t="str">
        <x:v>Not applicable</x:v>
      </x:c>
    </x:row>
    <x:row r="17" hidden="0">
      <x:c r="A17" s="17" t="str">
        <x:v>C1-CONFIG-01</x:v>
      </x:c>
      <x:c r="B17" s="17" t="n">
        <x:v>12</x:v>
      </x:c>
      <x:c r="C17" s="22" t="str">
        <x:v>C1 Wildlife</x:v>
      </x:c>
      <x:c r="D17" s="15" t="str">
        <x:v>Every C1 target setting matches the C1–C3 Registration sheet.</x:v>
      </x:c>
      <x:c r="E17" s="15" t="str">
        <x:v>Build the complete C1 Wildlife environment in a normal shooting mode.</x:v>
      </x:c>
      <x:c r="F17" s="13" t="str">
        <x:f>IFERROR(VLOOKUP($A17,'Menu'!$A$2:$E$38,2,FALSE),"")</x:f>
        <x:v>Q, dials, AF controls, MM-SWITCH, MM-AF Case, lens IS switch</x:v>
      </x:c>
      <x:c r="G17" s="29" t="str">
        <x:f>IFERROR(VLOOKUP($A17,'Menu'!$A$2:$E$38,3,FALSE),"")</x:f>
        <x:v>Multiple</x:v>
      </x:c>
      <x:c r="H17" s="15" t="str">
        <x:f>IFERROR(VLOOKUP($A17,'Menu'!$A$2:$E$38,4,FALSE),"")</x:f>
        <x:v>Shooting screen/Quick Control plus Shooting 1, Shooting 2, Shooting 5, Shooting 6, Shooting 7, AF1, My Menu AF Case or AF3 Servo AF characteristics, AF Drive mode, and lens IS switch</x:v>
      </x:c>
      <x:c r="I17" s="13" t="str">
        <x:v>Not started</x:v>
      </x:c>
      <x:c r="J17" s="30" t="str"/>
      <x:c r="K17" s="17" t="str"/>
      <x:c r="L17" s="15" t="str"/>
      <x:c r="M17" s="15" t="str"/>
      <x:c r="N17" s="15" t="str">
        <x:v>Configure from a normal shooting mode, not recalled C1.</x:v>
      </x:c>
      <x:c r="O17" s="15" t="str">
        <x:v>Approved target pending verification</x:v>
      </x:c>
      <x:c r="P17" s="17" t="str">
        <x:v>Yes</x:v>
      </x:c>
      <x:c r="Q17" s="15" t="str">
        <x:v>controls.md; data/canon_r5_custom_controls_current.yaml; Wildlife profile</x:v>
      </x:c>
      <x:c r="R17" s="17" t="str">
        <x:v>No</x:v>
      </x:c>
    </x:row>
    <x:row r="18" hidden="0">
      <x:c r="A18" s="17" t="str">
        <x:v>C1-REG-01</x:v>
      </x:c>
      <x:c r="B18" s="17" t="n">
        <x:v>13</x:v>
      </x:c>
      <x:c r="C18" s="22" t="str">
        <x:v>C1 Wildlife</x:v>
      </x:c>
      <x:c r="D18" s="15" t="str">
        <x:v>C1 registration completes without overwriting C2 or C3.</x:v>
      </x:c>
      <x:c r="E18" s="15" t="str">
        <x:v>Register the validated Wildlife environment to C1.</x:v>
      </x:c>
      <x:c r="F18" s="13" t="str">
        <x:f>IFERROR(VLOOKUP($A18,'Menu'!$A$2:$E$38,2,FALSE),"")</x:f>
        <x:v>MENU</x:v>
      </x:c>
      <x:c r="G18" s="29" t="str">
        <x:f>IFERROR(VLOOKUP($A18,'Menu'!$A$2:$E$38,3,FALSE),"")</x:f>
        <x:v>Set-up 5</x:v>
      </x:c>
      <x:c r="H18" s="15" t="str">
        <x:f>IFERROR(VLOOKUP($A18,'Menu'!$A$2:$E$38,4,FALSE),"")</x:f>
        <x:v>Custom shooting mode (C1-C3) &gt; Register settings &gt; C1</x:v>
      </x:c>
      <x:c r="I18" s="13" t="str">
        <x:v>Not started</x:v>
      </x:c>
      <x:c r="J18" s="30" t="str"/>
      <x:c r="K18" s="17" t="str"/>
      <x:c r="L18" s="15" t="str"/>
      <x:c r="M18" s="15" t="str"/>
      <x:c r="N18" s="15" t="str">
        <x:v>Register only after every C1 setting is checked.</x:v>
      </x:c>
      <x:c r="O18" s="15" t="str">
        <x:v>Approved target pending verification</x:v>
      </x:c>
      <x:c r="P18" s="17" t="str">
        <x:v>Yes</x:v>
      </x:c>
      <x:c r="Q18" s="15" t="str">
        <x:v>controls.md; Back-Button AF guide</x:v>
      </x:c>
      <x:c r="R18" s="17" t="str">
        <x:v>No</x:v>
      </x:c>
    </x:row>
    <x:row r="19" hidden="0">
      <x:c r="A19" s="17" t="str">
        <x:v>C1-READ-01</x:v>
      </x:c>
      <x:c r="B19" s="17" t="n">
        <x:v>14</x:v>
      </x:c>
      <x:c r="C19" s="22" t="str">
        <x:v>C1 Wildlife</x:v>
      </x:c>
      <x:c r="D19" s="15" t="str">
        <x:v>Every recalled value matches the validated C1 column.</x:v>
      </x:c>
      <x:c r="E19" s="15" t="str">
        <x:v>Leave the setup state, recall C1 with M-Fn, and read back every setting.</x:v>
      </x:c>
      <x:c r="F19" s="13" t="str">
        <x:f>IFERROR(VLOOKUP($A19,'Menu'!$A$2:$E$38,2,FALSE),"")</x:f>
        <x:v>M-Fn recall; Q; MM-SWITCH; MM-AF Case; MENU</x:v>
      </x:c>
      <x:c r="G19" s="29" t="str">
        <x:f>IFERROR(VLOOKUP($A19,'Menu'!$A$2:$E$38,3,FALSE),"")</x:f>
        <x:v>No single menu</x:v>
      </x:c>
      <x:c r="H19" s="15" t="str">
        <x:f>IFERROR(VLOOKUP($A19,'Menu'!$A$2:$E$38,4,FALSE),"")</x:f>
        <x:v>Recall C1 with M-Fn; verify the shooting screen, Quick Control screen, My Menu shortcuts, and applicable menu settings</x:v>
      </x:c>
      <x:c r="I19" s="13" t="str">
        <x:v>Not started</x:v>
      </x:c>
      <x:c r="J19" s="30" t="str"/>
      <x:c r="K19" s="17" t="str"/>
      <x:c r="L19" s="15" t="str"/>
      <x:c r="M19" s="15" t="str"/>
      <x:c r="N19" s="15" t="str">
        <x:v>Record discrepancies before proceeding to C2.</x:v>
      </x:c>
      <x:c r="O19" s="15" t="str">
        <x:v>Approved target pending verification</x:v>
      </x:c>
      <x:c r="P19" s="17" t="str">
        <x:v>Yes</x:v>
      </x:c>
      <x:c r="Q19" s="15" t="str">
        <x:v>controls.md; project memory</x:v>
      </x:c>
      <x:c r="R19" s="17" t="str">
        <x:v>No</x:v>
      </x:c>
    </x:row>
    <x:row r="20" hidden="0">
      <x:c r="A20" s="17" t="str">
        <x:v>C1-OPS-01</x:v>
      </x:c>
      <x:c r="B20" s="17" t="n">
        <x:v>15</x:v>
      </x:c>
      <x:c r="C20" s="22" t="str">
        <x:v>C1 Wildlife</x:v>
      </x:c>
      <x:c r="D20" s="15" t="str">
        <x:v>C1 recalls a usable Wildlife environment with Case 1 (Custom) at -1 / +1 and controls behave as intended.</x:v>
      </x:c>
      <x:c r="E20" s="15" t="str">
        <x:v>Perform a short Wildlife operational test.</x:v>
      </x:c>
      <x:c r="F20" s="13" t="str">
        <x:f>IFERROR(VLOOKUP($A20,'Menu'!$A$2:$E$38,2,FALSE),"")</x:f>
        <x:v>Physical controls</x:v>
      </x:c>
      <x:c r="G20" s="29" t="str">
        <x:f>IFERROR(VLOOKUP($A20,'Menu'!$A$2:$E$38,3,FALSE),"")</x:f>
        <x:v>No menu</x:v>
      </x:c>
      <x:c r="H20" s="15" t="str">
        <x:f>IFERROR(VLOOKUP($A20,'Menu'!$A$2:$E$38,4,FALSE),"")</x:f>
        <x:v>Operational shooting test</x:v>
      </x:c>
      <x:c r="I20" s="13" t="str">
        <x:v>Not started</x:v>
      </x:c>
      <x:c r="J20" s="30" t="str"/>
      <x:c r="K20" s="17" t="str"/>
      <x:c r="L20" s="15" t="str"/>
      <x:c r="M20" s="15" t="str"/>
      <x:c r="N20" s="15" t="str">
        <x:v>Test acquisition, precision AF, exposure, and continuous drive.</x:v>
      </x:c>
      <x:c r="O20" s="15" t="str">
        <x:v>Approved target pending verification</x:v>
      </x:c>
      <x:c r="P20" s="17" t="str">
        <x:v>Yes</x:v>
      </x:c>
      <x:c r="Q20" s="15" t="str">
        <x:v>controls.md; Wildlife profile</x:v>
      </x:c>
      <x:c r="R20" s="17" t="str">
        <x:v>No</x:v>
      </x:c>
    </x:row>
    <x:row r="21" hidden="0">
      <x:c r="A21" s="17" t="str">
        <x:v>C2-CONFIG-01</x:v>
      </x:c>
      <x:c r="B21" s="17" t="n">
        <x:v>16</x:v>
      </x:c>
      <x:c r="C21" s="22" t="str">
        <x:v>C2 Birds in Flight</x:v>
      </x:c>
      <x:c r="D21" s="15" t="str">
        <x:v>Every C2 target setting matches the C1–C3 Registration sheet.</x:v>
      </x:c>
      <x:c r="E21" s="15" t="str">
        <x:v>Return to a normal mode and build the complete C2 Birds in Flight environment.</x:v>
      </x:c>
      <x:c r="F21" s="13" t="str">
        <x:f>IFERROR(VLOOKUP($A21,'Menu'!$A$2:$E$38,2,FALSE),"")</x:f>
        <x:v>Q, dials, AF controls, MM-SWITCH, MM-AF Case, lens IS switch</x:v>
      </x:c>
      <x:c r="G21" s="29" t="str">
        <x:f>IFERROR(VLOOKUP($A21,'Menu'!$A$2:$E$38,3,FALSE),"")</x:f>
        <x:v>Multiple</x:v>
      </x:c>
      <x:c r="H21" s="15" t="str">
        <x:f>IFERROR(VLOOKUP($A21,'Menu'!$A$2:$E$38,4,FALSE),"")</x:f>
        <x:v>Shooting screen/Quick Control plus Shooting 1, Shooting 2, Shooting 5, Shooting 6, Shooting 7, AF1, My Menu AF Case or AF3 Servo AF characteristics, AF Drive mode, and lens IS switch</x:v>
      </x:c>
      <x:c r="I21" s="13" t="str">
        <x:v>Not started</x:v>
      </x:c>
      <x:c r="J21" s="30" t="str"/>
      <x:c r="K21" s="17" t="str"/>
      <x:c r="L21" s="15" t="str"/>
      <x:c r="M21" s="15" t="str"/>
      <x:c r="N21" s="15" t="str">
        <x:v>Do not build C2 while working inside recalled C1.</x:v>
      </x:c>
      <x:c r="O21" s="15" t="str">
        <x:v>Approved target pending verification</x:v>
      </x:c>
      <x:c r="P21" s="17" t="str">
        <x:v>Yes</x:v>
      </x:c>
      <x:c r="Q21" s="15" t="str">
        <x:v>Birds in Flight profile; Back-Button AF guide</x:v>
      </x:c>
      <x:c r="R21" s="17" t="str">
        <x:v>No</x:v>
      </x:c>
    </x:row>
    <x:row r="22" hidden="0">
      <x:c r="A22" s="17" t="str">
        <x:v>C2-REG-01</x:v>
      </x:c>
      <x:c r="B22" s="17" t="n">
        <x:v>17</x:v>
      </x:c>
      <x:c r="C22" s="22" t="str">
        <x:v>C2 Birds in Flight</x:v>
      </x:c>
      <x:c r="D22" s="15" t="str">
        <x:v>C2 registration completes without changing C1.</x:v>
      </x:c>
      <x:c r="E22" s="15" t="str">
        <x:v>Register the validated Birds in Flight environment to C2.</x:v>
      </x:c>
      <x:c r="F22" s="13" t="str">
        <x:f>IFERROR(VLOOKUP($A22,'Menu'!$A$2:$E$38,2,FALSE),"")</x:f>
        <x:v>MENU</x:v>
      </x:c>
      <x:c r="G22" s="29" t="str">
        <x:f>IFERROR(VLOOKUP($A22,'Menu'!$A$2:$E$38,3,FALSE),"")</x:f>
        <x:v>Set-up 5</x:v>
      </x:c>
      <x:c r="H22" s="15" t="str">
        <x:f>IFERROR(VLOOKUP($A22,'Menu'!$A$2:$E$38,4,FALSE),"")</x:f>
        <x:v>Custom shooting mode (C1-C3) &gt; Register settings &gt; C2</x:v>
      </x:c>
      <x:c r="I22" s="13" t="str">
        <x:v>Not started</x:v>
      </x:c>
      <x:c r="J22" s="30" t="str"/>
      <x:c r="K22" s="17" t="str"/>
      <x:c r="L22" s="15" t="str"/>
      <x:c r="M22" s="15" t="str"/>
      <x:c r="N22" s="15" t="str">
        <x:v>Register only after every C2 setting is checked.</x:v>
      </x:c>
      <x:c r="O22" s="15" t="str">
        <x:v>Approved target pending verification</x:v>
      </x:c>
      <x:c r="P22" s="17" t="str">
        <x:v>Yes</x:v>
      </x:c>
      <x:c r="Q22" s="15" t="str">
        <x:v>controls.md; Back-Button AF guide</x:v>
      </x:c>
      <x:c r="R22" s="17" t="str">
        <x:v>No</x:v>
      </x:c>
    </x:row>
    <x:row r="23" hidden="0">
      <x:c r="A23" s="17" t="str">
        <x:v>C2-READ-01</x:v>
      </x:c>
      <x:c r="B23" s="17" t="n">
        <x:v>18</x:v>
      </x:c>
      <x:c r="C23" s="22" t="str">
        <x:v>C2 Birds in Flight</x:v>
      </x:c>
      <x:c r="D23" s="15" t="str">
        <x:v>Every recalled value matches the validated C2 column.</x:v>
      </x:c>
      <x:c r="E23" s="15" t="str">
        <x:v>Recall C2 and read back every setting.</x:v>
      </x:c>
      <x:c r="F23" s="13" t="str">
        <x:f>IFERROR(VLOOKUP($A23,'Menu'!$A$2:$E$38,2,FALSE),"")</x:f>
        <x:v>M-Fn recall; Q; MM-SWITCH; MM-AF Case; MENU</x:v>
      </x:c>
      <x:c r="G23" s="29" t="str">
        <x:f>IFERROR(VLOOKUP($A23,'Menu'!$A$2:$E$38,3,FALSE),"")</x:f>
        <x:v>No single menu</x:v>
      </x:c>
      <x:c r="H23" s="15" t="str">
        <x:f>IFERROR(VLOOKUP($A23,'Menu'!$A$2:$E$38,4,FALSE),"")</x:f>
        <x:v>Recall C2 with M-Fn; verify the shooting screen, Quick Control screen, My Menu shortcuts, and applicable menu settings</x:v>
      </x:c>
      <x:c r="I23" s="13" t="str">
        <x:v>Not started</x:v>
      </x:c>
      <x:c r="J23" s="30" t="str"/>
      <x:c r="K23" s="17" t="str"/>
      <x:c r="L23" s="15" t="str"/>
      <x:c r="M23" s="15" t="str"/>
      <x:c r="N23" s="15" t="str">
        <x:v>Recheck C1 after the C2 read-back.</x:v>
      </x:c>
      <x:c r="O23" s="15" t="str">
        <x:v>Approved target pending verification</x:v>
      </x:c>
      <x:c r="P23" s="17" t="str">
        <x:v>Yes</x:v>
      </x:c>
      <x:c r="Q23" s="15" t="str">
        <x:v>controls.md; project memory</x:v>
      </x:c>
      <x:c r="R23" s="17" t="str">
        <x:v>No</x:v>
      </x:c>
    </x:row>
    <x:row r="24" hidden="0">
      <x:c r="A24" s="17" t="str">
        <x:v>C2-OPS-01</x:v>
      </x:c>
      <x:c r="B24" s="17" t="n">
        <x:v>19</x:v>
      </x:c>
      <x:c r="C24" s="22" t="str">
        <x:v>C2 Birds in Flight</x:v>
      </x:c>
      <x:c r="D24" s="15" t="str">
        <x:v>C2 provides 1/2500 sec., Mechanical shutter, H+, Servo AF Case 4, animal tracking, and Mode 3.</x:v>
      </x:c>
      <x:c r="E24" s="15" t="str">
        <x:v>Perform a short Birds in Flight operational test.</x:v>
      </x:c>
      <x:c r="F24" s="13" t="str">
        <x:f>IFERROR(VLOOKUP($A24,'Menu'!$A$2:$E$38,2,FALSE),"")</x:f>
        <x:v>Physical controls</x:v>
      </x:c>
      <x:c r="G24" s="29" t="str">
        <x:f>IFERROR(VLOOKUP($A24,'Menu'!$A$2:$E$38,3,FALSE),"")</x:f>
        <x:v>No menu</x:v>
      </x:c>
      <x:c r="H24" s="15" t="str">
        <x:f>IFERROR(VLOOKUP($A24,'Menu'!$A$2:$E$38,4,FALSE),"")</x:f>
        <x:v>Operational shooting test</x:v>
      </x:c>
      <x:c r="I24" s="13" t="str">
        <x:v>Not started</x:v>
      </x:c>
      <x:c r="J24" s="30" t="str"/>
      <x:c r="K24" s="17" t="str"/>
      <x:c r="L24" s="15" t="str"/>
      <x:c r="M24" s="15" t="str"/>
      <x:c r="N24" s="15" t="str">
        <x:v>Test tracking and burst behavior on a moving target.</x:v>
      </x:c>
      <x:c r="O24" s="15" t="str">
        <x:v>Approved target pending verification</x:v>
      </x:c>
      <x:c r="P24" s="17" t="str">
        <x:v>Yes</x:v>
      </x:c>
      <x:c r="Q24" s="15" t="str">
        <x:v>Birds in Flight profile</x:v>
      </x:c>
      <x:c r="R24" s="17" t="str">
        <x:v>No</x:v>
      </x:c>
    </x:row>
    <x:row r="25" hidden="0">
      <x:c r="A25" s="17" t="str">
        <x:v>C3-CONFIG-01</x:v>
      </x:c>
      <x:c r="B25" s="17" t="n">
        <x:v>20</x:v>
      </x:c>
      <x:c r="C25" s="22" t="str">
        <x:v>C3 Landscape</x:v>
      </x:c>
      <x:c r="D25" s="15" t="str">
        <x:v>Every C3 target setting matches the C1–C3 Registration sheet.</x:v>
      </x:c>
      <x:c r="E25" s="15" t="str">
        <x:v>Return to a normal mode and build the complete C3 Landscape environment.</x:v>
      </x:c>
      <x:c r="F25" s="13" t="str">
        <x:f>IFERROR(VLOOKUP($A25,'Menu'!$A$2:$E$38,2,FALSE),"")</x:f>
        <x:v>Q, dials, AF controls, MM-SWITCH, lens IS switch</x:v>
      </x:c>
      <x:c r="G25" s="29" t="str">
        <x:f>IFERROR(VLOOKUP($A25,'Menu'!$A$2:$E$38,3,FALSE),"")</x:f>
        <x:v>Multiple</x:v>
      </x:c>
      <x:c r="H25" s="15" t="str">
        <x:f>IFERROR(VLOOKUP($A25,'Menu'!$A$2:$E$38,4,FALSE),"")</x:f>
        <x:v>Shooting screen/Quick Control plus Shooting 1, Shooting 2, Shooting 5, Shooting 6, Shooting 7, AF1, AF Drive mode, and lens IS switch</x:v>
      </x:c>
      <x:c r="I25" s="13" t="str">
        <x:v>Not started</x:v>
      </x:c>
      <x:c r="J25" s="30" t="str"/>
      <x:c r="K25" s="17" t="str"/>
      <x:c r="L25" s="15" t="str"/>
      <x:c r="M25" s="15" t="str"/>
      <x:c r="N25" s="15" t="str">
        <x:v>Do not build C3 while working inside C1 or C2.</x:v>
      </x:c>
      <x:c r="O25" s="15" t="str">
        <x:v>Approved target pending verification</x:v>
      </x:c>
      <x:c r="P25" s="17" t="str">
        <x:v>Yes</x:v>
      </x:c>
      <x:c r="Q25" s="15" t="str">
        <x:v>Landscape profile; Back-Button AF guide</x:v>
      </x:c>
      <x:c r="R25" s="17" t="str">
        <x:v>No</x:v>
      </x:c>
    </x:row>
    <x:row r="26" hidden="0">
      <x:c r="A26" s="17" t="str">
        <x:v>C3-REG-01</x:v>
      </x:c>
      <x:c r="B26" s="17" t="n">
        <x:v>21</x:v>
      </x:c>
      <x:c r="C26" s="22" t="str">
        <x:v>C3 Landscape</x:v>
      </x:c>
      <x:c r="D26" s="15" t="str">
        <x:v>C3 registration completes without changing C1 or C2.</x:v>
      </x:c>
      <x:c r="E26" s="15" t="str">
        <x:v>Register the validated Landscape environment to C3.</x:v>
      </x:c>
      <x:c r="F26" s="13" t="str">
        <x:f>IFERROR(VLOOKUP($A26,'Menu'!$A$2:$E$38,2,FALSE),"")</x:f>
        <x:v>MENU</x:v>
      </x:c>
      <x:c r="G26" s="29" t="str">
        <x:f>IFERROR(VLOOKUP($A26,'Menu'!$A$2:$E$38,3,FALSE),"")</x:f>
        <x:v>Set-up 5</x:v>
      </x:c>
      <x:c r="H26" s="15" t="str">
        <x:f>IFERROR(VLOOKUP($A26,'Menu'!$A$2:$E$38,4,FALSE),"")</x:f>
        <x:v>Custom shooting mode (C1-C3) &gt; Register settings &gt; C3</x:v>
      </x:c>
      <x:c r="I26" s="13" t="str">
        <x:v>Not started</x:v>
      </x:c>
      <x:c r="J26" s="30" t="str"/>
      <x:c r="K26" s="17" t="str"/>
      <x:c r="L26" s="15" t="str"/>
      <x:c r="M26" s="15" t="str"/>
      <x:c r="N26" s="15" t="str">
        <x:v>Register only after every C3 setting is checked.</x:v>
      </x:c>
      <x:c r="O26" s="15" t="str">
        <x:v>Approved target pending verification</x:v>
      </x:c>
      <x:c r="P26" s="17" t="str">
        <x:v>Yes</x:v>
      </x:c>
      <x:c r="Q26" s="15" t="str">
        <x:v>controls.md; Back-Button AF guide</x:v>
      </x:c>
      <x:c r="R26" s="17" t="str">
        <x:v>No</x:v>
      </x:c>
    </x:row>
    <x:row r="27" hidden="0">
      <x:c r="A27" s="17" t="str">
        <x:v>C3-READ-01</x:v>
      </x:c>
      <x:c r="B27" s="17" t="n">
        <x:v>22</x:v>
      </x:c>
      <x:c r="C27" s="22" t="str">
        <x:v>C3 Landscape</x:v>
      </x:c>
      <x:c r="D27" s="15" t="str">
        <x:v>Every recalled value matches the validated C3 column.</x:v>
      </x:c>
      <x:c r="E27" s="15" t="str">
        <x:v>Recall C3 and read back every setting.</x:v>
      </x:c>
      <x:c r="F27" s="13" t="str">
        <x:f>IFERROR(VLOOKUP($A27,'Menu'!$A$2:$E$38,2,FALSE),"")</x:f>
        <x:v>M-Fn recall; Q; MM-SWITCH; MENU</x:v>
      </x:c>
      <x:c r="G27" s="29" t="str">
        <x:f>IFERROR(VLOOKUP($A27,'Menu'!$A$2:$E$38,3,FALSE),"")</x:f>
        <x:v>No single menu</x:v>
      </x:c>
      <x:c r="H27" s="15" t="str">
        <x:f>IFERROR(VLOOKUP($A27,'Menu'!$A$2:$E$38,4,FALSE),"")</x:f>
        <x:v>Recall C3 with M-Fn; verify the shooting screen, Quick Control screen, My Menu shortcuts, and applicable menu settings</x:v>
      </x:c>
      <x:c r="I27" s="13" t="str">
        <x:v>Not started</x:v>
      </x:c>
      <x:c r="J27" s="30" t="str"/>
      <x:c r="K27" s="17" t="str"/>
      <x:c r="L27" s="15" t="str"/>
      <x:c r="M27" s="15" t="str"/>
      <x:c r="N27" s="15" t="str">
        <x:v>Recall C1, C2, and C3 in sequence afterward.</x:v>
      </x:c>
      <x:c r="O27" s="15" t="str">
        <x:v>Approved target pending verification</x:v>
      </x:c>
      <x:c r="P27" s="17" t="str">
        <x:v>Yes</x:v>
      </x:c>
      <x:c r="Q27" s="15" t="str">
        <x:v>controls.md; project memory</x:v>
      </x:c>
      <x:c r="R27" s="17" t="str">
        <x:v>No</x:v>
      </x:c>
    </x:row>
    <x:row r="28" hidden="0">
      <x:c r="A28" s="17" t="str">
        <x:v>BACKUP-SET-02</x:v>
      </x:c>
      <x:c r="B28" s="17" t="n">
        <x:v>23</x:v>
      </x:c>
      <x:c r="C28" s="22" t="str">
        <x:v>Camera Setup</x:v>
      </x:c>
      <x:c r="D28" s="15" t="str">
        <x:v>A recoverable checkpoint exists after C1, C2, and C3 are registered and read back.</x:v>
      </x:c>
      <x:c r="E28" s="15" t="str">
        <x:v>Save a checkpoint copy of the complete camera configuration and record it in Sessions.</x:v>
      </x:c>
      <x:c r="F28" s="13" t="str">
        <x:f>IFERROR(VLOOKUP($A28,'Menu'!$A$2:$E$38,2,FALSE),"")</x:f>
        <x:v>MENU</x:v>
      </x:c>
      <x:c r="G28" s="29" t="str">
        <x:f>IFERROR(VLOOKUP($A28,'Menu'!$A$2:$E$38,3,FALSE),"")</x:f>
        <x:v>Set-up 5</x:v>
      </x:c>
      <x:c r="H28" s="15" t="str">
        <x:f>IFERROR(VLOOKUP($A28,'Menu'!$A$2:$E$38,4,FALSE),"")</x:f>
        <x:v>Save/load cam settings on card &gt; Save to card</x:v>
      </x:c>
      <x:c r="I28" s="13" t="str">
        <x:v>Not started</x:v>
      </x:c>
      <x:c r="J28" s="30" t="str"/>
      <x:c r="K28" s="17" t="str"/>
      <x:c r="L28" s="15" t="str"/>
      <x:c r="M28" s="15" t="str"/>
      <x:c r="N28" s="15" t="str">
        <x:v>After saving, set Status to Backup-Settings before operational control and shutter testing.</x:v>
      </x:c>
      <x:c r="O28" s="15" t="str">
        <x:v>Approved target pending verification</x:v>
      </x:c>
      <x:c r="P28" s="17" t="str">
        <x:v>No</x:v>
      </x:c>
      <x:c r="Q28" s="15" t="str"/>
      <x:c r="R28" s="17" t="str">
        <x:v>Not applicable</x:v>
      </x:c>
    </x:row>
    <x:row r="29" hidden="0">
      <x:c r="A29" s="17" t="str">
        <x:v>C3-OPS-01</x:v>
      </x:c>
      <x:c r="B29" s="17" t="n">
        <x:v>24</x:v>
      </x:c>
      <x:c r="C29" s="22" t="str">
        <x:v>C3 Landscape</x:v>
      </x:c>
      <x:c r="D29" s="15" t="str">
        <x:v>C3 provides Av, f/9, ISO 100, One-Shot, 1-Point, Single Shot, and EFCS.</x:v>
      </x:c>
      <x:c r="E29" s="15" t="str">
        <x:v>Perform a short Landscape operational test.</x:v>
      </x:c>
      <x:c r="F29" s="13" t="str">
        <x:f>IFERROR(VLOOKUP($A29,'Menu'!$A$2:$E$38,2,FALSE),"")</x:f>
        <x:v>Physical controls</x:v>
      </x:c>
      <x:c r="G29" s="29" t="str">
        <x:f>IFERROR(VLOOKUP($A29,'Menu'!$A$2:$E$38,3,FALSE),"")</x:f>
        <x:v>No menu</x:v>
      </x:c>
      <x:c r="H29" s="15" t="str">
        <x:f>IFERROR(VLOOKUP($A29,'Menu'!$A$2:$E$38,4,FALSE),"")</x:f>
        <x:v>Operational shooting test</x:v>
      </x:c>
      <x:c r="I29" s="13" t="str">
        <x:v>Not started</x:v>
      </x:c>
      <x:c r="J29" s="30" t="str"/>
      <x:c r="K29" s="17" t="str"/>
      <x:c r="L29" s="15" t="str"/>
      <x:c r="M29" s="15" t="str"/>
      <x:c r="N29" s="15" t="str">
        <x:v>Test handheld starting state, then tripod situational changes.</x:v>
      </x:c>
      <x:c r="O29" s="15" t="str">
        <x:v>Approved target pending verification</x:v>
      </x:c>
      <x:c r="P29" s="17" t="str">
        <x:v>Yes</x:v>
      </x:c>
      <x:c r="Q29" s="15" t="str">
        <x:v>Landscape profile</x:v>
      </x:c>
      <x:c r="R29" s="17" t="str">
        <x:v>No</x:v>
      </x:c>
    </x:row>
    <x:row r="30" hidden="0">
      <x:c r="A30" s="17" t="str">
        <x:v>CTRL-AFON-01</x:v>
      </x:c>
      <x:c r="B30" s="17" t="n">
        <x:v>25</x:v>
      </x:c>
      <x:c r="C30" s="22" t="str">
        <x:v>Controls</x:v>
      </x:c>
      <x:c r="D30" s="15" t="str">
        <x:v>AF-ON invokes Face + Tracking while maintaining the current AF Operation and Servo characteristics.</x:v>
      </x:c>
      <x:c r="E30" s="15" t="str">
        <x:v>Verify AF-ON in Servo and One-Shot environments.</x:v>
      </x:c>
      <x:c r="F30" s="13" t="str">
        <x:f>IFERROR(VLOOKUP($A30,'Menu'!$A$2:$E$38,2,FALSE),"")</x:f>
        <x:v>AF-ON; INFO</x:v>
      </x:c>
      <x:c r="G30" s="29" t="str">
        <x:f>IFERROR(VLOOKUP($A30,'Menu'!$A$2:$E$38,3,FALSE),"")</x:f>
        <x:v>Custom Functions 3</x:v>
      </x:c>
      <x:c r="H30" s="15" t="str">
        <x:f>IFERROR(VLOOKUP($A30,'Menu'!$A$2:$E$38,4,FALSE),"")</x:f>
        <x:v>Customize buttons &gt; AF-ON; press INFO to verify AF Operation, AF Method, and Servo AF characteristics</x:v>
      </x:c>
      <x:c r="I30" s="13" t="str">
        <x:v>Not started</x:v>
      </x:c>
      <x:c r="J30" s="30" t="str"/>
      <x:c r="K30" s="17" t="str"/>
      <x:c r="L30" s="15" t="str"/>
      <x:c r="M30" s="15" t="str"/>
      <x:c r="N30" s="15" t="str">
        <x:v>Run in C1/C2 and again in C3.</x:v>
      </x:c>
      <x:c r="O30" s="15" t="str">
        <x:v>Approved target pending verification</x:v>
      </x:c>
      <x:c r="P30" s="17" t="str">
        <x:v>Yes</x:v>
      </x:c>
      <x:c r="Q30" s="15" t="str">
        <x:v>controls.md; data/canon_r5_custom_controls_current.yaml; project memory</x:v>
      </x:c>
      <x:c r="R30" s="17" t="str">
        <x:v>No</x:v>
      </x:c>
    </x:row>
    <x:row r="31" hidden="0">
      <x:c r="A31" s="17" t="str">
        <x:v>CTRL-AELOCK-01</x:v>
      </x:c>
      <x:c r="B31" s="17" t="n">
        <x:v>26</x:v>
      </x:c>
      <x:c r="C31" s="22" t="str">
        <x:v>Controls</x:v>
      </x:c>
      <x:c r="D31" s="15" t="str">
        <x:v>AE Lock invokes 1-Point AF while maintaining the current AF Operation and last point position.</x:v>
      </x:c>
      <x:c r="E31" s="15" t="str">
        <x:v>Verify AE Lock in Servo and One-Shot environments.</x:v>
      </x:c>
      <x:c r="F31" s="13" t="str">
        <x:f>IFERROR(VLOOKUP($A31,'Menu'!$A$2:$E$38,2,FALSE),"")</x:f>
        <x:v>AE Lock; INFO</x:v>
      </x:c>
      <x:c r="G31" s="29" t="str">
        <x:f>IFERROR(VLOOKUP($A31,'Menu'!$A$2:$E$38,3,FALSE),"")</x:f>
        <x:v>Custom Functions 3</x:v>
      </x:c>
      <x:c r="H31" s="15" t="str">
        <x:f>IFERROR(VLOOKUP($A31,'Menu'!$A$2:$E$38,4,FALSE),"")</x:f>
        <x:v>Customize buttons &gt; AE Lock; press INFO to verify AF Operation, AF Method, and Servo AF characteristics</x:v>
      </x:c>
      <x:c r="I31" s="13" t="str">
        <x:v>Not started</x:v>
      </x:c>
      <x:c r="J31" s="30" t="str"/>
      <x:c r="K31" s="17" t="str"/>
      <x:c r="L31" s="15" t="str"/>
      <x:c r="M31" s="15" t="str"/>
      <x:c r="N31" s="15" t="str">
        <x:v>Run in C1/C2 and again in C3.</x:v>
      </x:c>
      <x:c r="O31" s="15" t="str">
        <x:v>Approved target pending verification</x:v>
      </x:c>
      <x:c r="P31" s="17" t="str">
        <x:v>Yes</x:v>
      </x:c>
      <x:c r="Q31" s="15" t="str">
        <x:v>controls.md; data/canon_r5_custom_controls_current.yaml; project memory</x:v>
      </x:c>
      <x:c r="R31" s="17" t="str">
        <x:v>No</x:v>
      </x:c>
    </x:row>
    <x:row r="32" hidden="0">
      <x:c r="A32" s="17" t="str">
        <x:v>CTRL-DOF-01</x:v>
      </x:c>
      <x:c r="B32" s="17" t="n">
        <x:v>27</x:v>
      </x:c>
      <x:c r="C32" s="22" t="str">
        <x:v>Controls</x:v>
      </x:c>
      <x:c r="D32" s="15" t="str">
        <x:v>DOF changes AF Operation and both AF-start buttons respect the changed state.</x:v>
      </x:c>
      <x:c r="E32" s="15" t="str">
        <x:v>Verify the DOF One-Shot ↔ Servo switch.</x:v>
      </x:c>
      <x:c r="F32" s="13" t="str">
        <x:f>IFERROR(VLOOKUP($A32,'Menu'!$A$2:$E$38,2,FALSE),"")</x:f>
        <x:v>DOF button</x:v>
      </x:c>
      <x:c r="G32" s="29" t="str">
        <x:f>IFERROR(VLOOKUP($A32,'Menu'!$A$2:$E$38,3,FALSE),"")</x:f>
        <x:v>Custom Functions 3</x:v>
      </x:c>
      <x:c r="H32" s="15" t="str">
        <x:f>IFERROR(VLOOKUP($A32,'Menu'!$A$2:$E$38,4,FALSE),"")</x:f>
        <x:v>Customize buttons &gt; Depth-of-field preview &gt; One-Shot AF ↔ Servo AF</x:v>
      </x:c>
      <x:c r="I32" s="13" t="str">
        <x:v>Not started</x:v>
      </x:c>
      <x:c r="J32" s="30" t="str"/>
      <x:c r="K32" s="17" t="str"/>
      <x:c r="L32" s="15" t="str"/>
      <x:c r="M32" s="15" t="str"/>
      <x:c r="N32" s="15" t="str">
        <x:v>Test both directions from C1/C2 and C3.</x:v>
      </x:c>
      <x:c r="O32" s="15" t="str">
        <x:v>Approved target pending verification</x:v>
      </x:c>
      <x:c r="P32" s="17" t="str">
        <x:v>Yes</x:v>
      </x:c>
      <x:c r="Q32" s="15" t="str">
        <x:v>controls.md; project memory</x:v>
      </x:c>
      <x:c r="R32" s="17" t="str">
        <x:v>No</x:v>
      </x:c>
    </x:row>
    <x:row r="33" hidden="0">
      <x:c r="A33" s="17" t="str">
        <x:v>CTRL-SET-01</x:v>
      </x:c>
      <x:c r="B33" s="17" t="n">
        <x:v>28</x:v>
      </x:c>
      <x:c r="C33" s="22" t="str">
        <x:v>Controls</x:v>
      </x:c>
      <x:c r="D33" s="15" t="str">
        <x:v>SET toggles Eye Detection with Face + Tracking and does not imply active eye detection with deliberate-point AF.</x:v>
      </x:c>
      <x:c r="E33" s="15" t="str">
        <x:v>Verify SET Eye Detection behavior.</x:v>
      </x:c>
      <x:c r="F33" s="13" t="str">
        <x:f>IFERROR(VLOOKUP($A33,'Menu'!$A$2:$E$38,2,FALSE),"")</x:f>
        <x:v>SET button</x:v>
      </x:c>
      <x:c r="G33" s="29" t="str">
        <x:f>IFERROR(VLOOKUP($A33,'Menu'!$A$2:$E$38,3,FALSE),"")</x:f>
        <x:v>Custom Functions 3</x:v>
      </x:c>
      <x:c r="H33" s="15" t="str">
        <x:f>IFERROR(VLOOKUP($A33,'Menu'!$A$2:$E$38,4,FALSE),"")</x:f>
        <x:v>Customize buttons &gt; SET &gt; Eye detection</x:v>
      </x:c>
      <x:c r="I33" s="13" t="str">
        <x:v>Not started</x:v>
      </x:c>
      <x:c r="J33" s="30" t="str"/>
      <x:c r="K33" s="17" t="str"/>
      <x:c r="L33" s="15" t="str"/>
      <x:c r="M33" s="15" t="str"/>
      <x:c r="N33" s="15" t="str">
        <x:v>Test Face + Tracking, 1-Point AF, and Spot AF.</x:v>
      </x:c>
      <x:c r="O33" s="15" t="str">
        <x:v>Approved target pending verification</x:v>
      </x:c>
      <x:c r="P33" s="17" t="str">
        <x:v>Yes</x:v>
      </x:c>
      <x:c r="Q33" s="15" t="str">
        <x:v>controls.md; data/canon_r5_custom_controls_current.yaml; project memory</x:v>
      </x:c>
      <x:c r="R33" s="17" t="str">
        <x:v>No</x:v>
      </x:c>
    </x:row>
    <x:row r="34" hidden="0">
      <x:c r="A34" s="17" t="str">
        <x:v>CTRL-JOY-01</x:v>
      </x:c>
      <x:c r="B34" s="17" t="n">
        <x:v>29</x:v>
      </x:c>
      <x:c r="C34" s="22" t="str">
        <x:v>Controls</x:v>
      </x:c>
      <x:c r="D34" s="15" t="str">
        <x:v>Movement selects the intended point or subject; observed recenter and Face Select behavior are recorded.</x:v>
      </x:c>
      <x:c r="E34" s="15" t="str">
        <x:v>Verify joystick movement and straight-press behavior.</x:v>
      </x:c>
      <x:c r="F34" s="13" t="str">
        <x:f>IFERROR(VLOOKUP($A34,'Menu'!$A$2:$E$38,2,FALSE),"")</x:f>
        <x:v>Joystick</x:v>
      </x:c>
      <x:c r="G34" s="29" t="str">
        <x:f>IFERROR(VLOOKUP($A34,'Menu'!$A$2:$E$38,3,FALSE),"")</x:f>
        <x:v>Custom Functions 3</x:v>
      </x:c>
      <x:c r="H34" s="15" t="str">
        <x:f>IFERROR(VLOOKUP($A34,'Menu'!$A$2:$E$38,4,FALSE),"")</x:f>
        <x:v>Customize buttons &gt; Multi-controller &gt; Direct AF point selection</x:v>
      </x:c>
      <x:c r="I34" s="13" t="str">
        <x:v>Not started</x:v>
      </x:c>
      <x:c r="J34" s="30" t="str"/>
      <x:c r="K34" s="17" t="str"/>
      <x:c r="L34" s="15" t="str"/>
      <x:c r="M34" s="15" t="str"/>
      <x:c r="N34" s="15" t="str">
        <x:v>Record single-border, double-border, release, and Face Select Off behavior.</x:v>
      </x:c>
      <x:c r="O34" s="15" t="str">
        <x:v>Approved target pending verification</x:v>
      </x:c>
      <x:c r="P34" s="17" t="str">
        <x:v>Yes</x:v>
      </x:c>
      <x:c r="Q34" s="15" t="str">
        <x:v>controls.md; project memory; Back-Button AF guide</x:v>
      </x:c>
      <x:c r="R34" s="17" t="str">
        <x:v>No</x:v>
      </x:c>
    </x:row>
    <x:row r="35" hidden="0">
      <x:c r="A35" s="17" t="str">
        <x:v>EFCS-SHOCK-01</x:v>
      </x:c>
      <x:c r="B35" s="17" t="n">
        <x:v>30</x:v>
      </x:c>
      <x:c r="C35" s="22" t="str">
        <x:v>EFCS Tests</x:v>
      </x:c>
      <x:c r="D35" s="15" t="str">
        <x:v>At least five matched frames per shutter speed and mode are available for comparison.</x:v>
      </x:c>
      <x:c r="E35" s="15" t="str">
        <x:v>Compare EFCS and Mechanical tripod sharpness at 1/8–1/60 sec.</x:v>
      </x:c>
      <x:c r="F35" s="13" t="str">
        <x:f>IFERROR(VLOOKUP($A35,'Menu'!$A$2:$E$38,2,FALSE),"")</x:f>
        <x:v>MM-SWITCH</x:v>
      </x:c>
      <x:c r="G35" s="29" t="str">
        <x:f>IFERROR(VLOOKUP($A35,'Menu'!$A$2:$E$38,3,FALSE),"")</x:f>
        <x:v>Shooting 6</x:v>
      </x:c>
      <x:c r="H35" s="15" t="str">
        <x:f>IFERROR(VLOOKUP($A35,'Menu'!$A$2:$E$38,4,FALSE),"")</x:f>
        <x:v>Shutter mode; use EFCS and Mechanical for the comparison</x:v>
      </x:c>
      <x:c r="I35" s="13" t="str">
        <x:v>Not started</x:v>
      </x:c>
      <x:c r="J35" s="30" t="str"/>
      <x:c r="K35" s="17" t="str"/>
      <x:c r="L35" s="15" t="str"/>
      <x:c r="M35" s="15" t="str"/>
      <x:c r="N35" s="15" t="str">
        <x:v>Use a detailed static target, stabilization Off, and remote/timer release.</x:v>
      </x:c>
      <x:c r="O35" s="15" t="str">
        <x:v>Approved target pending verification</x:v>
      </x:c>
      <x:c r="P35" s="17" t="str">
        <x:v>Yes</x:v>
      </x:c>
      <x:c r="Q35" s="15" t="str">
        <x:v>00 Master/baseline.yaml; EFCS decision; R5 Quick Reference</x:v>
      </x:c>
      <x:c r="R35" s="17" t="str">
        <x:v>No</x:v>
      </x:c>
    </x:row>
    <x:row r="36" hidden="0">
      <x:c r="A36" s="17" t="str">
        <x:v>EFCS-BOKEH-01</x:v>
      </x:c>
      <x:c r="B36" s="17" t="n">
        <x:v>31</x:v>
      </x:c>
      <x:c r="C36" s="22" t="str">
        <x:v>EFCS Tests</x:v>
      </x:c>
      <x:c r="D36" s="15" t="str">
        <x:v>Matched frames show whether EFCS clips out-of-focus highlights at fast shutter speeds.</x:v>
      </x:c>
      <x:c r="E36" s="15" t="str">
        <x:v>Compare EFCS and Mechanical bokeh with the EF 50mm f/1.4 at 1/1000–1/8000 sec.</x:v>
      </x:c>
      <x:c r="F36" s="13" t="str">
        <x:f>IFERROR(VLOOKUP($A36,'Menu'!$A$2:$E$38,2,FALSE),"")</x:f>
        <x:v>MM-SWITCH</x:v>
      </x:c>
      <x:c r="G36" s="29" t="str">
        <x:f>IFERROR(VLOOKUP($A36,'Menu'!$A$2:$E$38,3,FALSE),"")</x:f>
        <x:v>Shooting 6</x:v>
      </x:c>
      <x:c r="H36" s="15" t="str">
        <x:f>IFERROR(VLOOKUP($A36,'Menu'!$A$2:$E$38,4,FALSE),"")</x:f>
        <x:v>Shutter mode; use EFCS and Mechanical for the comparison</x:v>
      </x:c>
      <x:c r="I36" s="13" t="str">
        <x:v>Not started</x:v>
      </x:c>
      <x:c r="J36" s="30" t="str"/>
      <x:c r="K36" s="17" t="str"/>
      <x:c r="L36" s="15" t="str"/>
      <x:c r="M36" s="15" t="str"/>
      <x:c r="N36" s="15" t="str">
        <x:v>Use distinct point highlights and constant focus distance.</x:v>
      </x:c>
      <x:c r="O36" s="15" t="str">
        <x:v>Approved target pending verification</x:v>
      </x:c>
      <x:c r="P36" s="17" t="str">
        <x:v>Yes</x:v>
      </x:c>
      <x:c r="Q36" s="15" t="str">
        <x:v>People profile; EFCS decision; R5 Quick Reference</x:v>
      </x:c>
      <x:c r="R36" s="17" t="str">
        <x:v>No</x:v>
      </x:c>
    </x:row>
    <x:row r="37" hidden="0">
      <x:c r="A37" s="17" t="str">
        <x:v>EFCS-LIGHT-01</x:v>
      </x:c>
      <x:c r="B37" s="17" t="n">
        <x:v>32</x:v>
      </x:c>
      <x:c r="C37" s="22" t="str">
        <x:v>EFCS Tests</x:v>
      </x:c>
      <x:c r="D37" s="15" t="str">
        <x:v>Exposure and color consistency are assessed at Sports shutter speeds with Anti-flicker Off and On.</x:v>
      </x:c>
      <x:c r="E37" s="15" t="str">
        <x:v>Compare EFCS and Mechanical under representative LED or fluorescent lighting.</x:v>
      </x:c>
      <x:c r="F37" s="13" t="str">
        <x:f>IFERROR(VLOOKUP($A37,'Menu'!$A$2:$E$38,2,FALSE),"")</x:f>
        <x:v>MM-SWITCH; MENU for Anti-flicker</x:v>
      </x:c>
      <x:c r="G37" s="29" t="str">
        <x:f>IFERROR(VLOOKUP($A37,'Menu'!$A$2:$E$38,3,FALSE),"")</x:f>
        <x:v>Multiple</x:v>
      </x:c>
      <x:c r="H37" s="15" t="str">
        <x:f>IFERROR(VLOOKUP($A37,'Menu'!$A$2:$E$38,4,FALSE),"")</x:f>
        <x:v>Shooting 6: Shutter mode; Shooting 2: Anti-flicker shoot.</x:v>
      </x:c>
      <x:c r="I37" s="13" t="str">
        <x:v>Not started</x:v>
      </x:c>
      <x:c r="J37" s="30" t="str"/>
      <x:c r="K37" s="17" t="str"/>
      <x:c r="L37" s="15" t="str"/>
      <x:c r="M37" s="15" t="str"/>
      <x:c r="N37" s="15" t="str">
        <x:v>Use actual indoor Sports lighting when practical.</x:v>
      </x:c>
      <x:c r="O37" s="15" t="str">
        <x:v>Approved target pending verification</x:v>
      </x:c>
      <x:c r="P37" s="17" t="str">
        <x:v>Yes</x:v>
      </x:c>
      <x:c r="Q37" s="15" t="str">
        <x:v>Sports profile; EFCS decision; R5 Quick Reference</x:v>
      </x:c>
      <x:c r="R37" s="17" t="str">
        <x:v>No</x:v>
      </x:c>
    </x:row>
    <x:row r="38" hidden="0">
      <x:c r="A38" s="17" t="str">
        <x:v>EFCS-BURST-01</x:v>
      </x:c>
      <x:c r="B38" s="17" t="n">
        <x:v>33</x:v>
      </x:c>
      <x:c r="C38" s="22" t="str">
        <x:v>EFCS Tests</x:v>
      </x:c>
      <x:c r="D38" s="15" t="str">
        <x:v>Burst cadence, tracking, and viewfinder behavior are recorded for EFCS and Mechanical.</x:v>
      </x:c>
      <x:c r="E38" s="15" t="str">
        <x:v>Compare High and High Speed Continuous+ burst behavior.</x:v>
      </x:c>
      <x:c r="F38" s="13" t="str">
        <x:f>IFERROR(VLOOKUP($A38,'Menu'!$A$2:$E$38,2,FALSE),"")</x:f>
        <x:v>MM-SWITCH; Q for Drive mode</x:v>
      </x:c>
      <x:c r="G38" s="29" t="str">
        <x:f>IFERROR(VLOOKUP($A38,'Menu'!$A$2:$E$38,3,FALSE),"")</x:f>
        <x:v>Multiple</x:v>
      </x:c>
      <x:c r="H38" s="15" t="str">
        <x:f>IFERROR(VLOOKUP($A38,'Menu'!$A$2:$E$38,4,FALSE),"")</x:f>
        <x:v>Shooting 6: Shutter mode; AF menu/Quick Control: Drive mode</x:v>
      </x:c>
      <x:c r="I38" s="13" t="str">
        <x:v>Not started</x:v>
      </x:c>
      <x:c r="J38" s="30" t="str"/>
      <x:c r="K38" s="17" t="str"/>
      <x:c r="L38" s="15" t="str"/>
      <x:c r="M38" s="15" t="str"/>
      <x:c r="N38" s="15" t="str">
        <x:v>Record battery, lens, shutter, aperture, card, and Anti-flicker state.</x:v>
      </x:c>
      <x:c r="O38" s="15" t="str">
        <x:v>Approved target pending verification</x:v>
      </x:c>
      <x:c r="P38" s="17" t="str">
        <x:v>Yes</x:v>
      </x:c>
      <x:c r="Q38" s="15" t="str">
        <x:v>EFCS decision; R5 Quick Reference</x:v>
      </x:c>
      <x:c r="R38" s="17" t="str">
        <x:v>No</x:v>
      </x:c>
    </x:row>
    <x:row r="39" hidden="0">
      <x:c r="A39" s="17" t="str">
        <x:v>FLASH-PLUTO-01</x:v>
      </x:c>
      <x:c r="B39" s="17" t="n">
        <x:v>34</x:v>
      </x:c>
      <x:c r="C39" s="22" t="str">
        <x:v>EFCS Tests</x:v>
      </x:c>
      <x:c r="D39" s="15" t="str">
        <x:v>Trigger timing, sync, exposure consistency, flash duration, and recycle behavior pass.</x:v>
      </x:c>
      <x:c r="E39" s="15" t="str">
        <x:v>Verify the Mechanical 1/200-sec. Pluto/manual-flash Waterdrops setup.</x:v>
      </x:c>
      <x:c r="F39" s="13" t="str">
        <x:f>IFERROR(VLOOKUP($A39,'Menu'!$A$2:$E$38,2,FALSE),"")</x:f>
        <x:v>MM-SWITCH; shooting controls</x:v>
      </x:c>
      <x:c r="G39" s="29" t="str">
        <x:f>IFERROR(VLOOKUP($A39,'Menu'!$A$2:$E$38,3,FALSE),"")</x:f>
        <x:v>Multiple</x:v>
      </x:c>
      <x:c r="H39" s="15" t="str">
        <x:f>IFERROR(VLOOKUP($A39,'Menu'!$A$2:$E$38,4,FALSE),"")</x:f>
        <x:v>Shooting 6: Shutter mode &gt; Mechanical; shooting screen: M, 1/200 sec., aperture, ISO; Shooting 2: External Speedlite control when applicable</x:v>
      </x:c>
      <x:c r="I39" s="13" t="str">
        <x:v>Not started</x:v>
      </x:c>
      <x:c r="J39" s="30" t="str"/>
      <x:c r="K39" s="17" t="str"/>
      <x:c r="L39" s="15" t="str"/>
      <x:c r="M39" s="15" t="str"/>
      <x:c r="N39" s="15" t="str">
        <x:v>Start at manual flash 1/16–1/64 and record the complete setup.</x:v>
      </x:c>
      <x:c r="O39" s="15" t="str">
        <x:v>Approved target pending verification</x:v>
      </x:c>
      <x:c r="P39" s="17" t="str">
        <x:v>Yes</x:v>
      </x:c>
      <x:c r="Q39" s="15" t="str">
        <x:v>Waterdrops profile; Flash Photography; EFCS decision</x:v>
      </x:c>
      <x:c r="R39" s="17" t="str">
        <x:v>No</x:v>
      </x:c>
    </x:row>
    <x:row r="40" hidden="0">
      <x:c r="A40" s="17" t="str">
        <x:v>FINAL-READ-01</x:v>
      </x:c>
      <x:c r="B40" s="17" t="n">
        <x:v>35</x:v>
      </x:c>
      <x:c r="C40" s="22" t="str">
        <x:v>Finalization</x:v>
      </x:c>
      <x:c r="D40" s="15" t="str">
        <x:v>All three custom modes, both approved My Menu tabs, and shared controls remain correct; Auto update remains disabled.</x:v>
      </x:c>
      <x:c r="E40" s="15" t="str">
        <x:v>Recall C1, C2, and C3 and complete a final read-back.</x:v>
      </x:c>
      <x:c r="F40" s="13" t="str">
        <x:f>IFERROR(VLOOKUP($A40,'Menu'!$A$2:$E$38,2,FALSE),"")</x:f>
        <x:v>M-Fn; MM-SWITCH; MM-AF Case; Q; MENU</x:v>
      </x:c>
      <x:c r="G40" s="29" t="str">
        <x:f>IFERROR(VLOOKUP($A40,'Menu'!$A$2:$E$38,3,FALSE),"")</x:f>
        <x:v>Multiple</x:v>
      </x:c>
      <x:c r="H40" s="15" t="str">
        <x:f>IFERROR(VLOOKUP($A40,'Menu'!$A$2:$E$38,4,FALSE),"")</x:f>
        <x:v>Recall C1-C3 with M-Fn; verify SWITCH and AF Case; Set-up 5 confirm Auto update is disabled; Custom Functions 3 confirm control assignments</x:v>
      </x:c>
      <x:c r="I40" s="13" t="str">
        <x:v>Not started</x:v>
      </x:c>
      <x:c r="J40" s="30" t="str"/>
      <x:c r="K40" s="17" t="str"/>
      <x:c r="L40" s="15" t="str"/>
      <x:c r="M40" s="15" t="str"/>
      <x:c r="N40" s="15" t="str">
        <x:v>Resolve every discrepancy before saving the final configuration.</x:v>
      </x:c>
      <x:c r="O40" s="15" t="str">
        <x:v>Approved target pending verification</x:v>
      </x:c>
      <x:c r="P40" s="17" t="str">
        <x:v>Yes</x:v>
      </x:c>
      <x:c r="Q40" s="15" t="str">
        <x:v>controls.md; project memory</x:v>
      </x:c>
      <x:c r="R40" s="17" t="str">
        <x:v>No</x:v>
      </x:c>
    </x:row>
    <x:row r="41" hidden="0">
      <x:c r="A41" s="17" t="str">
        <x:v>FINAL-SAVE-01</x:v>
      </x:c>
      <x:c r="B41" s="17" t="n">
        <x:v>36</x:v>
      </x:c>
      <x:c r="C41" s="22" t="str">
        <x:v>Finalization</x:v>
      </x:c>
      <x:c r="D41" s="15" t="str">
        <x:v>A named post-verification settings file exists and is recorded in the Sessions sheet.</x:v>
      </x:c>
      <x:c r="E41" s="15" t="str">
        <x:v>Save the verified complete camera configuration to the card.</x:v>
      </x:c>
      <x:c r="F41" s="13" t="str">
        <x:f>IFERROR(VLOOKUP($A41,'Menu'!$A$2:$E$38,2,FALSE),"")</x:f>
        <x:v>MENU</x:v>
      </x:c>
      <x:c r="G41" s="29" t="str">
        <x:f>IFERROR(VLOOKUP($A41,'Menu'!$A$2:$E$38,3,FALSE),"")</x:f>
        <x:v>Set-up 5</x:v>
      </x:c>
      <x:c r="H41" s="15" t="str">
        <x:f>IFERROR(VLOOKUP($A41,'Menu'!$A$2:$E$38,4,FALSE),"")</x:f>
        <x:v>Save/load cam settings on card &gt; Save to card</x:v>
      </x:c>
      <x:c r="I41" s="13" t="str">
        <x:v>Not started</x:v>
      </x:c>
      <x:c r="J41" s="30" t="str"/>
      <x:c r="K41" s="17" t="str"/>
      <x:c r="L41" s="15" t="str"/>
      <x:c r="M41" s="15" t="str"/>
      <x:c r="N41" s="15" t="str">
        <x:v>Preserve the completed workbook and test images.</x:v>
      </x:c>
      <x:c r="O41" s="15" t="str">
        <x:v>Approved target pending verification</x:v>
      </x:c>
      <x:c r="P41" s="17" t="str">
        <x:v>No</x:v>
      </x:c>
      <x:c r="Q41" s="15" t="str"/>
      <x:c r="R41" s="17" t="str">
        <x:v>Not applicable</x:v>
      </x:c>
    </x:row>
    <x:row r="42" hidden="0">
      <x:c r="A42" s="17" t="str">
        <x:v>PROJECT-UPDATE-01</x:v>
      </x:c>
      <x:c r="B42" s="17" t="n">
        <x:v>37</x:v>
      </x:c>
      <x:c r="C42" s="22" t="str">
        <x:v>Project Update</x:v>
      </x:c>
      <x:c r="D42" s="15" t="str">
        <x:v>Only completed, unambiguous evidence is promoted to owner-confirmed status.</x:v>
      </x:c>
      <x:c r="E42" s="15" t="str">
        <x:v>Review Verified rows that require a project update.</x:v>
      </x:c>
      <x:c r="F42" s="13" t="str">
        <x:f>IFERROR(VLOOKUP($A42,'Menu'!$A$2:$E$38,2,FALSE),"")</x:f>
        <x:v>Completed tracker</x:v>
      </x:c>
      <x:c r="G42" s="29" t="str">
        <x:f>IFERROR(VLOOKUP($A42,'Menu'!$A$2:$E$38,3,FALSE),"")</x:f>
        <x:v>No camera menu</x:v>
      </x:c>
      <x:c r="H42" s="15" t="str">
        <x:f>IFERROR(VLOOKUP($A42,'Menu'!$A$2:$E$38,4,FALSE),"")</x:f>
        <x:v>Review the completed tracker and update the reference-system evidence states</x:v>
      </x:c>
      <x:c r="I42" s="13" t="str">
        <x:v>Blocked</x:v>
      </x:c>
      <x:c r="J42" s="30" t="str"/>
      <x:c r="K42" s="17" t="str"/>
      <x:c r="L42" s="15" t="str"/>
      <x:c r="M42" s="15" t="str"/>
      <x:c r="N42" s="15" t="str">
        <x:v>Complete physical testing before updating project evidence states.</x:v>
      </x:c>
      <x:c r="O42" s="15" t="str">
        <x:v>Unresolved</x:v>
      </x:c>
      <x:c r="P42" s="17" t="str">
        <x:v>Yes</x:v>
      </x:c>
      <x:c r="Q42" s="15" t="str">
        <x:v>TODO; controls.md; project memory; applicable profiles and guides</x:v>
      </x:c>
      <x:c r="R42" s="17" t="str">
        <x:v>No</x:v>
      </x:c>
    </x:row>
  </x:sheetData>
  <x:conditionalFormatting sqref="I6:I42">
    <x:cfRule type="containsText" dxfId="0" priority="1" operator="containsText" text="Backup-Settings"/>
    <x:cfRule type="containsText" dxfId="1" priority="2" operator="containsText" text="Verified"/>
    <x:cfRule type="containsText" dxfId="2" priority="3" operator="containsText" text="In progress"/>
    <x:cfRule type="containsText" dxfId="3" priority="4" operator="containsText" text="Blocked"/>
    <x:cfRule type="containsText" dxfId="4" priority="5" operator="containsText" text="Failed"/>
  </x:conditionalFormatting>
  <x:dataValidations count="4">
    <x:dataValidation type="list" sqref="I6:I42">
      <x:formula1>"Not started,In progress,Configured—not registered,Registered—pending read-back,Backup-Settings,Verified,Failed—needs correction,Inconclusive—needs retest,Blocked,Not applicable"</x:formula1>
    </x:dataValidation>
    <x:dataValidation type="list" sqref="O6:O42">
      <x:formula1>"Approved target pending verification,Owner-confirmed current configuration,Verified Canon capability,Project recommendation,Unresolved"</x:formula1>
    </x:dataValidation>
    <x:dataValidation type="list" sqref="P6:P42">
      <x:formula1>"Yes,No,Not applicable"</x:formula1>
    </x:dataValidation>
    <x:dataValidation type="list" sqref="R6:R42">
      <x:formula1>"Yes,No,Not applicable"</x:formula1>
    </x:dataValidation>
  </x:dataValidations>
  <x:pageMargins left="0.7" right="0.7" top="0.75" bottom="0.75" header="0.3" footer="0.3"/>
  <x:drawing ns1:id="R4ba3a0213cea4066"/>
  <x:tableParts count="1">
    <x:tablePart ns1:id="Rf00f98d73cdb4ecd"/>
  </x:tableParts>
</x:worksheet>
</file>

<file path=xl/worksheets/sheet3.xml><?xml version="1.0" encoding="utf-8"?>
<x:worksheet xmlns:ns1="http://schemas.openxmlformats.org/officeDocument/2006/relationships" xmlns:x="http://schemas.openxmlformats.org/spreadsheetml/2006/main">
  <x:sheetViews>
    <x:sheetView showGridLines="0" workbookViewId="0">
      <x:pane xSplit="1" ySplit="4" topLeftCell="B5" activePane="bottomRight" state="frozen"/>
      <x:selection pane="bottomRight" activeCell="B5" sqref="B5"/>
    </x:sheetView>
  </x:sheetViews>
  <x:sheetFormatPr defaultRowHeight="15"/>
  <x:cols>
    <x:col min="1" max="1" width="22.219999313354492" hidden="0" customWidth="1"/>
    <x:col min="2" max="2" width="24.889999389648438" hidden="0" customWidth="1"/>
    <x:col min="3" max="3" width="24.889999389648438" hidden="0" customWidth="1"/>
    <x:col min="4" max="4" width="14.220000267028809" hidden="0" customWidth="1"/>
    <x:col min="5" max="5" width="14.220000267028809" hidden="0" customWidth="1"/>
    <x:col min="6" max="6" width="26.670000076293945" hidden="0" customWidth="1"/>
    <x:col min="7" max="7" width="24.889999389648438" hidden="0" customWidth="1"/>
    <x:col min="8" max="8" width="14.220000267028809" hidden="0" customWidth="1"/>
    <x:col min="9" max="9" width="14.220000267028809" hidden="0" customWidth="1"/>
    <x:col min="10" max="10" width="26.670000076293945" hidden="0" customWidth="1"/>
    <x:col min="11" max="11" width="24.889999389648438" hidden="0" customWidth="1"/>
    <x:col min="12" max="12" width="14.220000267028809" hidden="0" customWidth="1"/>
    <x:col min="13" max="13" width="14.220000267028809" hidden="0" customWidth="1"/>
    <x:col min="14" max="14" width="26.670000076293945" hidden="0" customWidth="1"/>
    <x:col min="15" max="15" width="0.2199999988079071" hidden="0" customWidth="1"/>
    <x:col min="16" max="16" width="0.2199999988079071" hidden="0" customWidth="1"/>
    <x:col min="17" max="17" width="0.2199999988079071" hidden="0" customWidth="1"/>
    <x:col min="18" max="18" width="0.2199999988079071" hidden="0" customWidth="1"/>
  </x:cols>
  <x:sheetData>
    <x:row r="1">
      <x:c r="A1" s="48" t="str">
        <x:v>C1–C3 Registration: Configure → Register → Read Back → Verify</x:v>
      </x:c>
      <x:c r="B1" s="48"/>
      <x:c r="C1" s="56"/>
      <x:c r="D1" s="57"/>
      <x:c r="E1" s="57"/>
      <x:c r="F1" s="58"/>
      <x:c r="G1" s="56"/>
      <x:c r="H1" s="57"/>
      <x:c r="I1" s="57"/>
      <x:c r="J1" s="58"/>
      <x:c r="K1" s="56"/>
      <x:c r="L1" s="57"/>
      <x:c r="M1" s="57"/>
      <x:c r="N1" s="58"/>
      <x:c r="O1" s="47"/>
      <x:c r="P1" s="47"/>
      <x:c r="Q1" s="47"/>
      <x:c r="R1" s="47"/>
    </x:row>
    <x:row r="2">
      <x:c r="A2" s="49" t="str">
        <x:v>Work from a normal shooting mode. Validate the complete column before registering a slot. Record configuration and read-back separately for every setting.</x:v>
      </x:c>
      <x:c r="B2" s="49"/>
      <x:c r="C2" s="59"/>
      <x:c r="D2" s="38"/>
      <x:c r="E2" s="38"/>
      <x:c r="F2" s="60"/>
      <x:c r="G2" s="59"/>
      <x:c r="H2" s="38"/>
      <x:c r="I2" s="38"/>
      <x:c r="J2" s="60"/>
      <x:c r="K2" s="59"/>
      <x:c r="L2" s="38"/>
      <x:c r="M2" s="38"/>
      <x:c r="N2" s="60"/>
      <x:c r="O2" s="47"/>
      <x:c r="P2" s="47"/>
      <x:c r="Q2" s="47"/>
      <x:c r="R2" s="47"/>
    </x:row>
    <x:row r="3" ht="22" customHeight="1">
      <x:c r="A3" s="50" t="str">
        <x:v>Compare to:</x:v>
      </x:c>
      <x:c r="B3" s="50" t="str">
        <x:v>Default Settings</x:v>
      </x:c>
      <x:c r="C3" s="61" t="str">
        <x:v>Default Settings</x:v>
      </x:c>
      <x:c r="D3" s="6"/>
      <x:c r="E3" s="6"/>
      <x:c r="F3" s="62"/>
      <x:c r="G3" s="61" t="str">
        <x:v>Default Settings</x:v>
      </x:c>
      <x:c r="H3" s="6"/>
      <x:c r="I3" s="6"/>
      <x:c r="J3" s="62"/>
      <x:c r="K3" s="61" t="str">
        <x:v>Default Settings</x:v>
      </x:c>
      <x:c r="L3" s="6"/>
      <x:c r="M3" s="6"/>
      <x:c r="N3" s="62"/>
      <x:c r="O3" s="47"/>
      <x:c r="P3" s="47"/>
      <x:c r="Q3" s="47"/>
      <x:c r="R3" s="47"/>
    </x:row>
    <x:row r="4" hidden="0">
      <x:c r="A4" s="51" t="str">
        <x:v>Setting</x:v>
      </x:c>
      <x:c r="B4" s="51" t="str">
        <x:v>Default Settings</x:v>
      </x:c>
      <x:c r="C4" s="63" t="str">
        <x:v>C1 Wildlife Target</x:v>
      </x:c>
      <x:c r="D4" s="5" t="str">
        <x:v>C1 Configured</x:v>
      </x:c>
      <x:c r="E4" s="5" t="str">
        <x:v>C1 Read-back</x:v>
      </x:c>
      <x:c r="F4" s="64" t="str">
        <x:v>C1 Notes</x:v>
      </x:c>
      <x:c r="G4" s="63" t="str">
        <x:v>C2 Birds in Flight Target</x:v>
      </x:c>
      <x:c r="H4" s="5" t="str">
        <x:v>C2 Configured</x:v>
      </x:c>
      <x:c r="I4" s="5" t="str">
        <x:v>C2 Read-back</x:v>
      </x:c>
      <x:c r="J4" s="64" t="str">
        <x:v>C2 Notes</x:v>
      </x:c>
      <x:c r="K4" s="63" t="str">
        <x:v>C3 Landscape Target</x:v>
      </x:c>
      <x:c r="L4" s="5" t="str">
        <x:v>C3 Configured</x:v>
      </x:c>
      <x:c r="M4" s="5" t="str">
        <x:v>C3 Read-back</x:v>
      </x:c>
      <x:c r="N4" s="64" t="str">
        <x:v>C3 Notes</x:v>
      </x:c>
      <x:c r="O4" s="47"/>
      <x:c r="P4" s="47"/>
      <x:c r="Q4" s="47"/>
      <x:c r="R4" s="47"/>
    </x:row>
    <x:row r="5" hidden="0">
      <x:c r="A5" s="52" t="str">
        <x:v>Mode</x:v>
      </x:c>
      <x:c r="B5" s="54" t="str">
        <x:v>Fv</x:v>
      </x:c>
      <x:c r="C5" s="65" t="str">
        <x:v>Fv</x:v>
      </x:c>
      <x:c r="D5" s="40" t="str">
        <x:v>Not started</x:v>
      </x:c>
      <x:c r="E5" s="40" t="str">
        <x:v>Not started</x:v>
      </x:c>
      <x:c r="F5" s="66" t="str"/>
      <x:c r="G5" s="65" t="str">
        <x:v>Tv</x:v>
      </x:c>
      <x:c r="H5" s="40" t="str">
        <x:v>Not started</x:v>
      </x:c>
      <x:c r="I5" s="40" t="str">
        <x:v>Not started</x:v>
      </x:c>
      <x:c r="J5" s="66" t="str"/>
      <x:c r="K5" s="65" t="str">
        <x:v>Av</x:v>
      </x:c>
      <x:c r="L5" s="40" t="str">
        <x:v>Not started</x:v>
      </x:c>
      <x:c r="M5" s="40" t="str">
        <x:v>Not started</x:v>
      </x:c>
      <x:c r="N5" s="66" t="str"/>
      <x:c r="O5" s="47" t="str">
        <x:f>IF($B$3="Default Settings",B5,IF($B$3="C1 Wildlife",C5,IF($B$3="C2 Birds in Flight",G5,IF($B$3="C3 Landscape",K5,""))))</x:f>
        <x:v>Fv</x:v>
      </x:c>
      <x:c r="P5" s="47" t="str">
        <x:f>IF($C$3="Default Settings",B5,IF($C$3="C1 Wildlife",C5,IF($C$3="C2 Birds in Flight",G5,IF($C$3="C3 Landscape",K5,""))))</x:f>
        <x:v>Fv</x:v>
      </x:c>
      <x:c r="Q5" s="47" t="str">
        <x:f>IF($G$3="Default Settings",B5,IF($G$3="C1 Wildlife",C5,IF($G$3="C2 Birds in Flight",G5,IF($G$3="C3 Landscape",K5,""))))</x:f>
        <x:v>Fv</x:v>
      </x:c>
      <x:c r="R5" s="47" t="str">
        <x:f>IF($K$3="Default Settings",B5,IF($K$3="C1 Wildlife",C5,IF($K$3="C2 Birds in Flight",G5,IF($K$3="C3 Landscape",K5,""))))</x:f>
        <x:v>Fv</x:v>
      </x:c>
    </x:row>
    <x:row r="6" hidden="0">
      <x:c r="A6" s="52" t="str">
        <x:v>Metering</x:v>
      </x:c>
      <x:c r="B6" s="54" t="str">
        <x:v>Evaluative</x:v>
      </x:c>
      <x:c r="C6" s="65" t="str">
        <x:v>Evaluative</x:v>
      </x:c>
      <x:c r="D6" s="40" t="str">
        <x:v>Not started</x:v>
      </x:c>
      <x:c r="E6" s="40" t="str">
        <x:v>Not started</x:v>
      </x:c>
      <x:c r="F6" s="66" t="str"/>
      <x:c r="G6" s="65" t="str">
        <x:v>Evaluative</x:v>
      </x:c>
      <x:c r="H6" s="40" t="str">
        <x:v>Not started</x:v>
      </x:c>
      <x:c r="I6" s="40" t="str">
        <x:v>Not started</x:v>
      </x:c>
      <x:c r="J6" s="66" t="str"/>
      <x:c r="K6" s="65" t="str">
        <x:v>Evaluative</x:v>
      </x:c>
      <x:c r="L6" s="40" t="str">
        <x:v>Not started</x:v>
      </x:c>
      <x:c r="M6" s="40" t="str">
        <x:v>Not started</x:v>
      </x:c>
      <x:c r="N6" s="66" t="str"/>
      <x:c r="O6" s="47" t="str">
        <x:f>IF($B$3="Default Settings",B6,IF($B$3="C1 Wildlife",C6,IF($B$3="C2 Birds in Flight",G6,IF($B$3="C3 Landscape",K6,""))))</x:f>
        <x:v>Evaluative</x:v>
      </x:c>
      <x:c r="P6" s="47" t="str">
        <x:f>IF($C$3="Default Settings",B6,IF($C$3="C1 Wildlife",C6,IF($C$3="C2 Birds in Flight",G6,IF($C$3="C3 Landscape",K6,""))))</x:f>
        <x:v>Evaluative</x:v>
      </x:c>
      <x:c r="Q6" s="47" t="str">
        <x:f>IF($G$3="Default Settings",B6,IF($G$3="C1 Wildlife",C6,IF($G$3="C2 Birds in Flight",G6,IF($G$3="C3 Landscape",K6,""))))</x:f>
        <x:v>Evaluative</x:v>
      </x:c>
      <x:c r="R6" s="47" t="str">
        <x:f>IF($K$3="Default Settings",B6,IF($K$3="C1 Wildlife",C6,IF($K$3="C2 Birds in Flight",G6,IF($K$3="C3 Landscape",K6,""))))</x:f>
        <x:v>Evaluative</x:v>
      </x:c>
    </x:row>
    <x:row r="7" hidden="0">
      <x:c r="A7" s="52" t="str">
        <x:v>Exposure Compensation</x:v>
      </x:c>
      <x:c r="B7" s="54" t="str">
        <x:v>0</x:v>
      </x:c>
      <x:c r="C7" s="65" t="str">
        <x:v>0</x:v>
      </x:c>
      <x:c r="D7" s="40" t="str">
        <x:v>Not started</x:v>
      </x:c>
      <x:c r="E7" s="40" t="str">
        <x:v>Not started</x:v>
      </x:c>
      <x:c r="F7" s="66" t="str"/>
      <x:c r="G7" s="65" t="str">
        <x:v>0 starting point</x:v>
      </x:c>
      <x:c r="H7" s="40" t="str">
        <x:v>Not started</x:v>
      </x:c>
      <x:c r="I7" s="40" t="str">
        <x:v>Not started</x:v>
      </x:c>
      <x:c r="J7" s="66" t="str"/>
      <x:c r="K7" s="65" t="str">
        <x:v>0</x:v>
      </x:c>
      <x:c r="L7" s="40" t="str">
        <x:v>Not started</x:v>
      </x:c>
      <x:c r="M7" s="40" t="str">
        <x:v>Not started</x:v>
      </x:c>
      <x:c r="N7" s="66" t="str"/>
      <x:c r="O7" s="47" t="str">
        <x:f>IF($B$3="Default Settings",B7,IF($B$3="C1 Wildlife",C7,IF($B$3="C2 Birds in Flight",G7,IF($B$3="C3 Landscape",K7,""))))</x:f>
        <x:v>0</x:v>
      </x:c>
      <x:c r="P7" s="47" t="str">
        <x:f>IF($C$3="Default Settings",B7,IF($C$3="C1 Wildlife",C7,IF($C$3="C2 Birds in Flight",G7,IF($C$3="C3 Landscape",K7,""))))</x:f>
        <x:v>0</x:v>
      </x:c>
      <x:c r="Q7" s="47" t="str">
        <x:f>IF($G$3="Default Settings",B7,IF($G$3="C1 Wildlife",C7,IF($G$3="C2 Birds in Flight",G7,IF($G$3="C3 Landscape",K7,""))))</x:f>
        <x:v>0</x:v>
      </x:c>
      <x:c r="R7" s="47" t="str">
        <x:f>IF($K$3="Default Settings",B7,IF($K$3="C1 Wildlife",C7,IF($K$3="C2 Birds in Flight",G7,IF($K$3="C3 Landscape",K7,""))))</x:f>
        <x:v>0</x:v>
      </x:c>
    </x:row>
    <x:row r="8" hidden="0">
      <x:c r="A8" s="52" t="str">
        <x:v>Shutter Speed</x:v>
      </x:c>
      <x:c r="B8" s="54" t="str">
        <x:v>Auto</x:v>
      </x:c>
      <x:c r="C8" s="65" t="str">
        <x:v>Auto</x:v>
      </x:c>
      <x:c r="D8" s="40" t="str">
        <x:v>Not started</x:v>
      </x:c>
      <x:c r="E8" s="40" t="str">
        <x:v>Not started</x:v>
      </x:c>
      <x:c r="F8" s="66" t="str"/>
      <x:c r="G8" s="65" t="str">
        <x:v>1/2500 sec.</x:v>
      </x:c>
      <x:c r="H8" s="40" t="str">
        <x:v>Not started</x:v>
      </x:c>
      <x:c r="I8" s="40" t="str">
        <x:v>Not started</x:v>
      </x:c>
      <x:c r="J8" s="66" t="str"/>
      <x:c r="K8" s="65" t="str">
        <x:v>Auto</x:v>
      </x:c>
      <x:c r="L8" s="40" t="str">
        <x:v>Not started</x:v>
      </x:c>
      <x:c r="M8" s="40" t="str">
        <x:v>Not started</x:v>
      </x:c>
      <x:c r="N8" s="66" t="str"/>
      <x:c r="O8" s="47" t="str">
        <x:f>IF($B$3="Default Settings",B8,IF($B$3="C1 Wildlife",C8,IF($B$3="C2 Birds in Flight",G8,IF($B$3="C3 Landscape",K8,""))))</x:f>
        <x:v>Auto</x:v>
      </x:c>
      <x:c r="P8" s="47" t="str">
        <x:f>IF($C$3="Default Settings",B8,IF($C$3="C1 Wildlife",C8,IF($C$3="C2 Birds in Flight",G8,IF($C$3="C3 Landscape",K8,""))))</x:f>
        <x:v>Auto</x:v>
      </x:c>
      <x:c r="Q8" s="47" t="str">
        <x:f>IF($G$3="Default Settings",B8,IF($G$3="C1 Wildlife",C8,IF($G$3="C2 Birds in Flight",G8,IF($G$3="C3 Landscape",K8,""))))</x:f>
        <x:v>Auto</x:v>
      </x:c>
      <x:c r="R8" s="47" t="str">
        <x:f>IF($K$3="Default Settings",B8,IF($K$3="C1 Wildlife",C8,IF($K$3="C2 Birds in Flight",G8,IF($K$3="C3 Landscape",K8,""))))</x:f>
        <x:v>Auto</x:v>
      </x:c>
    </x:row>
    <x:row r="9" hidden="0">
      <x:c r="A9" s="52" t="str">
        <x:v>Aperture</x:v>
      </x:c>
      <x:c r="B9" s="54" t="str">
        <x:v>Auto</x:v>
      </x:c>
      <x:c r="C9" s="65" t="str">
        <x:v>Auto</x:v>
      </x:c>
      <x:c r="D9" s="40" t="str">
        <x:v>Not started</x:v>
      </x:c>
      <x:c r="E9" s="40" t="str">
        <x:v>Not started</x:v>
      </x:c>
      <x:c r="F9" s="66" t="str"/>
      <x:c r="G9" s="65" t="str">
        <x:v>Auto</x:v>
      </x:c>
      <x:c r="H9" s="40" t="str">
        <x:v>Not started</x:v>
      </x:c>
      <x:c r="I9" s="40" t="str">
        <x:v>Not started</x:v>
      </x:c>
      <x:c r="J9" s="66" t="str"/>
      <x:c r="K9" s="65" t="str">
        <x:v>f/9</x:v>
      </x:c>
      <x:c r="L9" s="40" t="str">
        <x:v>Not started</x:v>
      </x:c>
      <x:c r="M9" s="40" t="str">
        <x:v>Not started</x:v>
      </x:c>
      <x:c r="N9" s="66" t="str"/>
      <x:c r="O9" s="47" t="str">
        <x:f>IF($B$3="Default Settings",B9,IF($B$3="C1 Wildlife",C9,IF($B$3="C2 Birds in Flight",G9,IF($B$3="C3 Landscape",K9,""))))</x:f>
        <x:v>Auto</x:v>
      </x:c>
      <x:c r="P9" s="47" t="str">
        <x:f>IF($C$3="Default Settings",B9,IF($C$3="C1 Wildlife",C9,IF($C$3="C2 Birds in Flight",G9,IF($C$3="C3 Landscape",K9,""))))</x:f>
        <x:v>Auto</x:v>
      </x:c>
      <x:c r="Q9" s="47" t="str">
        <x:f>IF($G$3="Default Settings",B9,IF($G$3="C1 Wildlife",C9,IF($G$3="C2 Birds in Flight",G9,IF($G$3="C3 Landscape",K9,""))))</x:f>
        <x:v>Auto</x:v>
      </x:c>
      <x:c r="R9" s="47" t="str">
        <x:f>IF($K$3="Default Settings",B9,IF($K$3="C1 Wildlife",C9,IF($K$3="C2 Birds in Flight",G9,IF($K$3="C3 Landscape",K9,""))))</x:f>
        <x:v>Auto</x:v>
      </x:c>
    </x:row>
    <x:row r="10" hidden="0">
      <x:c r="A10" s="52" t="str">
        <x:v>ISO</x:v>
      </x:c>
      <x:c r="B10" s="54" t="str">
        <x:v>Auto</x:v>
      </x:c>
      <x:c r="C10" s="65" t="str">
        <x:v>Auto</x:v>
      </x:c>
      <x:c r="D10" s="40" t="str">
        <x:v>Not started</x:v>
      </x:c>
      <x:c r="E10" s="40" t="str">
        <x:v>Not started</x:v>
      </x:c>
      <x:c r="F10" s="66" t="str"/>
      <x:c r="G10" s="65" t="str">
        <x:v>Auto</x:v>
      </x:c>
      <x:c r="H10" s="40" t="str">
        <x:v>Not started</x:v>
      </x:c>
      <x:c r="I10" s="40" t="str">
        <x:v>Not started</x:v>
      </x:c>
      <x:c r="J10" s="66" t="str"/>
      <x:c r="K10" s="65" t="str">
        <x:v>100</x:v>
      </x:c>
      <x:c r="L10" s="40" t="str">
        <x:v>Not started</x:v>
      </x:c>
      <x:c r="M10" s="40" t="str">
        <x:v>Not started</x:v>
      </x:c>
      <x:c r="N10" s="66" t="str"/>
      <x:c r="O10" s="47" t="str">
        <x:f>IF($B$3="Default Settings",B10,IF($B$3="C1 Wildlife",C10,IF($B$3="C2 Birds in Flight",G10,IF($B$3="C3 Landscape",K10,""))))</x:f>
        <x:v>Auto</x:v>
      </x:c>
      <x:c r="P10" s="47" t="str">
        <x:f>IF($C$3="Default Settings",B10,IF($C$3="C1 Wildlife",C10,IF($C$3="C2 Birds in Flight",G10,IF($C$3="C3 Landscape",K10,""))))</x:f>
        <x:v>Auto</x:v>
      </x:c>
      <x:c r="Q10" s="47" t="str">
        <x:f>IF($G$3="Default Settings",B10,IF($G$3="C1 Wildlife",C10,IF($G$3="C2 Birds in Flight",G10,IF($G$3="C3 Landscape",K10,""))))</x:f>
        <x:v>Auto</x:v>
      </x:c>
      <x:c r="R10" s="47" t="str">
        <x:f>IF($K$3="Default Settings",B10,IF($K$3="C1 Wildlife",C10,IF($K$3="C2 Birds in Flight",G10,IF($K$3="C3 Landscape",K10,""))))</x:f>
        <x:v>Auto</x:v>
      </x:c>
    </x:row>
    <x:row r="11" hidden="0">
      <x:c r="A11" s="52" t="str">
        <x:v>Auto ISO Maximum</x:v>
      </x:c>
      <x:c r="B11" s="54" t="str">
        <x:v>12800</x:v>
      </x:c>
      <x:c r="C11" s="65" t="str">
        <x:v>12800</x:v>
      </x:c>
      <x:c r="D11" s="40" t="str">
        <x:v>Not started</x:v>
      </x:c>
      <x:c r="E11" s="40" t="str">
        <x:v>Not started</x:v>
      </x:c>
      <x:c r="F11" s="66" t="str"/>
      <x:c r="G11" s="65" t="str">
        <x:v>12800</x:v>
      </x:c>
      <x:c r="H11" s="40" t="str">
        <x:v>Not started</x:v>
      </x:c>
      <x:c r="I11" s="40" t="str">
        <x:v>Not started</x:v>
      </x:c>
      <x:c r="J11" s="66" t="str"/>
      <x:c r="K11" s="65" t="str">
        <x:v>12800</x:v>
      </x:c>
      <x:c r="L11" s="40" t="str">
        <x:v>Not started</x:v>
      </x:c>
      <x:c r="M11" s="40" t="str">
        <x:v>Not started</x:v>
      </x:c>
      <x:c r="N11" s="66" t="str"/>
      <x:c r="O11" s="47" t="str">
        <x:f>IF($B$3="Default Settings",B11,IF($B$3="C1 Wildlife",C11,IF($B$3="C2 Birds in Flight",G11,IF($B$3="C3 Landscape",K11,""))))</x:f>
        <x:v>12800</x:v>
      </x:c>
      <x:c r="P11" s="47" t="str">
        <x:f>IF($C$3="Default Settings",B11,IF($C$3="C1 Wildlife",C11,IF($C$3="C2 Birds in Flight",G11,IF($C$3="C3 Landscape",K11,""))))</x:f>
        <x:v>12800</x:v>
      </x:c>
      <x:c r="Q11" s="47" t="str">
        <x:f>IF($G$3="Default Settings",B11,IF($G$3="C1 Wildlife",C11,IF($G$3="C2 Birds in Flight",G11,IF($G$3="C3 Landscape",K11,""))))</x:f>
        <x:v>12800</x:v>
      </x:c>
      <x:c r="R11" s="47" t="str">
        <x:f>IF($K$3="Default Settings",B11,IF($K$3="C1 Wildlife",C11,IF($K$3="C2 Birds in Flight",G11,IF($K$3="C3 Landscape",K11,""))))</x:f>
        <x:v>12800</x:v>
      </x:c>
    </x:row>
    <x:row r="12" hidden="0">
      <x:c r="A12" s="52" t="str">
        <x:v>AF Operation</x:v>
      </x:c>
      <x:c r="B12" s="54" t="str">
        <x:v>Servo AF</x:v>
      </x:c>
      <x:c r="C12" s="65" t="str">
        <x:v>Servo AF</x:v>
      </x:c>
      <x:c r="D12" s="40" t="str">
        <x:v>Not started</x:v>
      </x:c>
      <x:c r="E12" s="40" t="str">
        <x:v>Not started</x:v>
      </x:c>
      <x:c r="F12" s="66" t="str"/>
      <x:c r="G12" s="65" t="str">
        <x:v>Servo AF</x:v>
      </x:c>
      <x:c r="H12" s="40" t="str">
        <x:v>Not started</x:v>
      </x:c>
      <x:c r="I12" s="40" t="str">
        <x:v>Not started</x:v>
      </x:c>
      <x:c r="J12" s="66" t="str"/>
      <x:c r="K12" s="65" t="str">
        <x:v>One-Shot AF</x:v>
      </x:c>
      <x:c r="L12" s="40" t="str">
        <x:v>Not started</x:v>
      </x:c>
      <x:c r="M12" s="40" t="str">
        <x:v>Not started</x:v>
      </x:c>
      <x:c r="N12" s="66" t="str"/>
      <x:c r="O12" s="47" t="str">
        <x:f>IF($B$3="Default Settings",B12,IF($B$3="C1 Wildlife",C12,IF($B$3="C2 Birds in Flight",G12,IF($B$3="C3 Landscape",K12,""))))</x:f>
        <x:v>Servo AF</x:v>
      </x:c>
      <x:c r="P12" s="47" t="str">
        <x:f>IF($C$3="Default Settings",B12,IF($C$3="C1 Wildlife",C12,IF($C$3="C2 Birds in Flight",G12,IF($C$3="C3 Landscape",K12,""))))</x:f>
        <x:v>Servo AF</x:v>
      </x:c>
      <x:c r="Q12" s="47" t="str">
        <x:f>IF($G$3="Default Settings",B12,IF($G$3="C1 Wildlife",C12,IF($G$3="C2 Birds in Flight",G12,IF($G$3="C3 Landscape",K12,""))))</x:f>
        <x:v>Servo AF</x:v>
      </x:c>
      <x:c r="R12" s="47" t="str">
        <x:f>IF($K$3="Default Settings",B12,IF($K$3="C1 Wildlife",C12,IF($K$3="C2 Birds in Flight",G12,IF($K$3="C3 Landscape",K12,""))))</x:f>
        <x:v>Servo AF</x:v>
      </x:c>
    </x:row>
    <x:row r="13" hidden="0">
      <x:c r="A13" s="52" t="str">
        <x:v>Servo AF Case</x:v>
      </x:c>
      <x:c r="B13" s="54" t="str">
        <x:v>Case A (Auto)</x:v>
      </x:c>
      <x:c r="C13" s="65" t="str">
        <x:v>Case 1 (Custom)</x:v>
      </x:c>
      <x:c r="D13" s="40" t="str">
        <x:v>Not started</x:v>
      </x:c>
      <x:c r="E13" s="40" t="str">
        <x:v>Not started</x:v>
      </x:c>
      <x:c r="F13" s="66" t="str"/>
      <x:c r="G13" s="65" t="str">
        <x:v>Case 4</x:v>
      </x:c>
      <x:c r="H13" s="40" t="str">
        <x:v>Not started</x:v>
      </x:c>
      <x:c r="I13" s="40" t="str">
        <x:v>Not started</x:v>
      </x:c>
      <x:c r="J13" s="66" t="str"/>
      <x:c r="K13" s="65" t="str">
        <x:v>Not Used</x:v>
      </x:c>
      <x:c r="L13" s="40" t="str">
        <x:v>Not started</x:v>
      </x:c>
      <x:c r="M13" s="40" t="str">
        <x:v>Not started</x:v>
      </x:c>
      <x:c r="N13" s="66" t="str"/>
      <x:c r="O13" s="47" t="str">
        <x:f>IF($B$3="Default Settings",B13,IF($B$3="C1 Wildlife",C13,IF($B$3="C2 Birds in Flight",G13,IF($B$3="C3 Landscape",K13,""))))</x:f>
        <x:v>Case A (Auto)</x:v>
      </x:c>
      <x:c r="P13" s="47" t="str">
        <x:f>IF($C$3="Default Settings",B13,IF($C$3="C1 Wildlife",C13,IF($C$3="C2 Birds in Flight",G13,IF($C$3="C3 Landscape",K13,""))))</x:f>
        <x:v>Case A (Auto)</x:v>
      </x:c>
      <x:c r="Q13" s="47" t="str">
        <x:f>IF($G$3="Default Settings",B13,IF($G$3="C1 Wildlife",C13,IF($G$3="C2 Birds in Flight",G13,IF($G$3="C3 Landscape",K13,""))))</x:f>
        <x:v>Case A (Auto)</x:v>
      </x:c>
      <x:c r="R13" s="47" t="str">
        <x:f>IF($K$3="Default Settings",B13,IF($K$3="C1 Wildlife",C13,IF($K$3="C2 Birds in Flight",G13,IF($K$3="C3 Landscape",K13,""))))</x:f>
        <x:v>Case A (Auto)</x:v>
      </x:c>
    </x:row>
    <x:row r="14" hidden="0">
      <x:c r="A14" s="52" t="str">
        <x:v>Tracking Sensitivity</x:v>
      </x:c>
      <x:c r="B14" s="54" t="str">
        <x:v>Auto</x:v>
      </x:c>
      <x:c r="C14" s="65" t="str">
        <x:v>-1</x:v>
      </x:c>
      <x:c r="D14" s="40" t="str">
        <x:v>Not started</x:v>
      </x:c>
      <x:c r="E14" s="40" t="str">
        <x:v>Not started</x:v>
      </x:c>
      <x:c r="F14" s="66" t="str"/>
      <x:c r="G14" s="65" t="str">
        <x:v>0</x:v>
      </x:c>
      <x:c r="H14" s="40" t="str">
        <x:v>Not started</x:v>
      </x:c>
      <x:c r="I14" s="40" t="str">
        <x:v>Not started</x:v>
      </x:c>
      <x:c r="J14" s="66" t="str"/>
      <x:c r="K14" s="65" t="str">
        <x:v>Not Used</x:v>
      </x:c>
      <x:c r="L14" s="40" t="str">
        <x:v>Not started</x:v>
      </x:c>
      <x:c r="M14" s="40" t="str">
        <x:v>Not started</x:v>
      </x:c>
      <x:c r="N14" s="66" t="str"/>
      <x:c r="O14" s="47" t="str">
        <x:f>IF($B$3="Default Settings",B14,IF($B$3="C1 Wildlife",C14,IF($B$3="C2 Birds in Flight",G14,IF($B$3="C3 Landscape",K14,""))))</x:f>
        <x:v>Auto</x:v>
      </x:c>
      <x:c r="P14" s="47" t="str">
        <x:f>IF($C$3="Default Settings",B14,IF($C$3="C1 Wildlife",C14,IF($C$3="C2 Birds in Flight",G14,IF($C$3="C3 Landscape",K14,""))))</x:f>
        <x:v>Auto</x:v>
      </x:c>
      <x:c r="Q14" s="47" t="str">
        <x:f>IF($G$3="Default Settings",B14,IF($G$3="C1 Wildlife",C14,IF($G$3="C2 Birds in Flight",G14,IF($G$3="C3 Landscape",K14,""))))</x:f>
        <x:v>Auto</x:v>
      </x:c>
      <x:c r="R14" s="47" t="str">
        <x:f>IF($K$3="Default Settings",B14,IF($K$3="C1 Wildlife",C14,IF($K$3="C2 Birds in Flight",G14,IF($K$3="C3 Landscape",K14,""))))</x:f>
        <x:v>Auto</x:v>
      </x:c>
    </x:row>
    <x:row r="15" hidden="0">
      <x:c r="A15" s="52" t="str">
        <x:v>Accel./Decel. Tracking</x:v>
      </x:c>
      <x:c r="B15" s="54" t="str">
        <x:v>Auto</x:v>
      </x:c>
      <x:c r="C15" s="65" t="str">
        <x:v>+1</x:v>
      </x:c>
      <x:c r="D15" s="40" t="str">
        <x:v>Not started</x:v>
      </x:c>
      <x:c r="E15" s="40" t="str">
        <x:v>Not started</x:v>
      </x:c>
      <x:c r="F15" s="66" t="str"/>
      <x:c r="G15" s="65" t="str">
        <x:v>+1</x:v>
      </x:c>
      <x:c r="H15" s="40" t="str">
        <x:v>Not started</x:v>
      </x:c>
      <x:c r="I15" s="40" t="str">
        <x:v>Not started</x:v>
      </x:c>
      <x:c r="J15" s="66" t="str"/>
      <x:c r="K15" s="65" t="str">
        <x:v>Not Used</x:v>
      </x:c>
      <x:c r="L15" s="40" t="str">
        <x:v>Not started</x:v>
      </x:c>
      <x:c r="M15" s="40" t="str">
        <x:v>Not started</x:v>
      </x:c>
      <x:c r="N15" s="66" t="str"/>
      <x:c r="O15" s="47" t="str">
        <x:f>IF($B$3="Default Settings",B15,IF($B$3="C1 Wildlife",C15,IF($B$3="C2 Birds in Flight",G15,IF($B$3="C3 Landscape",K15,""))))</x:f>
        <x:v>Auto</x:v>
      </x:c>
      <x:c r="P15" s="47" t="str">
        <x:f>IF($C$3="Default Settings",B15,IF($C$3="C1 Wildlife",C15,IF($C$3="C2 Birds in Flight",G15,IF($C$3="C3 Landscape",K15,""))))</x:f>
        <x:v>Auto</x:v>
      </x:c>
      <x:c r="Q15" s="47" t="str">
        <x:f>IF($G$3="Default Settings",B15,IF($G$3="C1 Wildlife",C15,IF($G$3="C2 Birds in Flight",G15,IF($G$3="C3 Landscape",K15,""))))</x:f>
        <x:v>Auto</x:v>
      </x:c>
      <x:c r="R15" s="47" t="str">
        <x:f>IF($K$3="Default Settings",B15,IF($K$3="C1 Wildlife",C15,IF($K$3="C2 Birds in Flight",G15,IF($K$3="C3 Landscape",K15,""))))</x:f>
        <x:v>Auto</x:v>
      </x:c>
    </x:row>
    <x:row r="16" hidden="0">
      <x:c r="A16" s="52" t="str">
        <x:v>Switching Tracked Subjects</x:v>
      </x:c>
      <x:c r="B16" s="54" t="str">
        <x:v>On subject</x:v>
      </x:c>
      <x:c r="C16" s="65" t="str">
        <x:v>On subject</x:v>
      </x:c>
      <x:c r="D16" s="40" t="str">
        <x:v>Not started</x:v>
      </x:c>
      <x:c r="E16" s="40" t="str">
        <x:v>Not started</x:v>
      </x:c>
      <x:c r="F16" s="66" t="str"/>
      <x:c r="G16" s="65" t="str">
        <x:v>On subject</x:v>
      </x:c>
      <x:c r="H16" s="40" t="str">
        <x:v>Not started</x:v>
      </x:c>
      <x:c r="I16" s="40" t="str">
        <x:v>Not started</x:v>
      </x:c>
      <x:c r="J16" s="66" t="str"/>
      <x:c r="K16" s="65" t="str">
        <x:v>Not Used</x:v>
      </x:c>
      <x:c r="L16" s="40" t="str">
        <x:v>Not started</x:v>
      </x:c>
      <x:c r="M16" s="40" t="str">
        <x:v>Not started</x:v>
      </x:c>
      <x:c r="N16" s="66" t="str"/>
      <x:c r="O16" s="47" t="str">
        <x:f>IF($B$3="Default Settings",B16,IF($B$3="C1 Wildlife",C16,IF($B$3="C2 Birds in Flight",G16,IF($B$3="C3 Landscape",K16,""))))</x:f>
        <x:v>On subject</x:v>
      </x:c>
      <x:c r="P16" s="47" t="str">
        <x:f>IF($C$3="Default Settings",B16,IF($C$3="C1 Wildlife",C16,IF($C$3="C2 Birds in Flight",G16,IF($C$3="C3 Landscape",K16,""))))</x:f>
        <x:v>On subject</x:v>
      </x:c>
      <x:c r="Q16" s="47" t="str">
        <x:f>IF($G$3="Default Settings",B16,IF($G$3="C1 Wildlife",C16,IF($G$3="C2 Birds in Flight",G16,IF($G$3="C3 Landscape",K16,""))))</x:f>
        <x:v>On subject</x:v>
      </x:c>
      <x:c r="R16" s="47" t="str">
        <x:f>IF($K$3="Default Settings",B16,IF($K$3="C1 Wildlife",C16,IF($K$3="C2 Birds in Flight",G16,IF($K$3="C3 Landscape",K16,""))))</x:f>
        <x:v>On subject</x:v>
      </x:c>
    </x:row>
    <x:row r="17" hidden="0">
      <x:c r="A17" s="52" t="str">
        <x:v>AF Method</x:v>
      </x:c>
      <x:c r="B17" s="54" t="str">
        <x:v>Face + Tracking</x:v>
      </x:c>
      <x:c r="C17" s="65" t="str">
        <x:v>Face + Tracking</x:v>
      </x:c>
      <x:c r="D17" s="40" t="str">
        <x:v>Not started</x:v>
      </x:c>
      <x:c r="E17" s="40" t="str">
        <x:v>Not started</x:v>
      </x:c>
      <x:c r="F17" s="66" t="str"/>
      <x:c r="G17" s="65" t="str">
        <x:v>Face + Tracking</x:v>
      </x:c>
      <x:c r="H17" s="40" t="str">
        <x:v>Not started</x:v>
      </x:c>
      <x:c r="I17" s="40" t="str">
        <x:v>Not started</x:v>
      </x:c>
      <x:c r="J17" s="66" t="str"/>
      <x:c r="K17" s="65" t="str">
        <x:v>1-Point AF</x:v>
      </x:c>
      <x:c r="L17" s="40" t="str">
        <x:v>Not started</x:v>
      </x:c>
      <x:c r="M17" s="40" t="str">
        <x:v>Not started</x:v>
      </x:c>
      <x:c r="N17" s="66" t="str"/>
      <x:c r="O17" s="47" t="str">
        <x:f>IF($B$3="Default Settings",B17,IF($B$3="C1 Wildlife",C17,IF($B$3="C2 Birds in Flight",G17,IF($B$3="C3 Landscape",K17,""))))</x:f>
        <x:v>Face + Tracking</x:v>
      </x:c>
      <x:c r="P17" s="47" t="str">
        <x:f>IF($C$3="Default Settings",B17,IF($C$3="C1 Wildlife",C17,IF($C$3="C2 Birds in Flight",G17,IF($C$3="C3 Landscape",K17,""))))</x:f>
        <x:v>Face + Tracking</x:v>
      </x:c>
      <x:c r="Q17" s="47" t="str">
        <x:f>IF($G$3="Default Settings",B17,IF($G$3="C1 Wildlife",C17,IF($G$3="C2 Birds in Flight",G17,IF($G$3="C3 Landscape",K17,""))))</x:f>
        <x:v>Face + Tracking</x:v>
      </x:c>
      <x:c r="R17" s="47" t="str">
        <x:f>IF($K$3="Default Settings",B17,IF($K$3="C1 Wildlife",C17,IF($K$3="C2 Birds in Flight",G17,IF($K$3="C3 Landscape",K17,""))))</x:f>
        <x:v>Face + Tracking</x:v>
      </x:c>
    </x:row>
    <x:row r="18" hidden="0">
      <x:c r="A18" s="52" t="str">
        <x:v>Subject Detection</x:v>
      </x:c>
      <x:c r="B18" s="54" t="str">
        <x:v>Animals</x:v>
      </x:c>
      <x:c r="C18" s="65" t="str">
        <x:v>Animals</x:v>
      </x:c>
      <x:c r="D18" s="40" t="str">
        <x:v>Not started</x:v>
      </x:c>
      <x:c r="E18" s="40" t="str">
        <x:v>Not started</x:v>
      </x:c>
      <x:c r="F18" s="66" t="str"/>
      <x:c r="G18" s="65" t="str">
        <x:v>Animals</x:v>
      </x:c>
      <x:c r="H18" s="40" t="str">
        <x:v>Not started</x:v>
      </x:c>
      <x:c r="I18" s="40" t="str">
        <x:v>Not started</x:v>
      </x:c>
      <x:c r="J18" s="66" t="str"/>
      <x:c r="K18" s="65" t="str">
        <x:v>None</x:v>
      </x:c>
      <x:c r="L18" s="40" t="str">
        <x:v>Not started</x:v>
      </x:c>
      <x:c r="M18" s="40" t="str">
        <x:v>Not started</x:v>
      </x:c>
      <x:c r="N18" s="66" t="str"/>
      <x:c r="O18" s="47" t="str">
        <x:f>IF($B$3="Default Settings",B18,IF($B$3="C1 Wildlife",C18,IF($B$3="C2 Birds in Flight",G18,IF($B$3="C3 Landscape",K18,""))))</x:f>
        <x:v>Animals</x:v>
      </x:c>
      <x:c r="P18" s="47" t="str">
        <x:f>IF($C$3="Default Settings",B18,IF($C$3="C1 Wildlife",C18,IF($C$3="C2 Birds in Flight",G18,IF($C$3="C3 Landscape",K18,""))))</x:f>
        <x:v>Animals</x:v>
      </x:c>
      <x:c r="Q18" s="47" t="str">
        <x:f>IF($G$3="Default Settings",B18,IF($G$3="C1 Wildlife",C18,IF($G$3="C2 Birds in Flight",G18,IF($G$3="C3 Landscape",K18,""))))</x:f>
        <x:v>Animals</x:v>
      </x:c>
      <x:c r="R18" s="47" t="str">
        <x:f>IF($K$3="Default Settings",B18,IF($K$3="C1 Wildlife",C18,IF($K$3="C2 Birds in Flight",G18,IF($K$3="C3 Landscape",K18,""))))</x:f>
        <x:v>Animals</x:v>
      </x:c>
    </x:row>
    <x:row r="19" hidden="0">
      <x:c r="A19" s="52" t="str">
        <x:v>Eye Detection</x:v>
      </x:c>
      <x:c r="B19" s="54" t="str">
        <x:v>Enable</x:v>
      </x:c>
      <x:c r="C19" s="65" t="str">
        <x:v>Enable</x:v>
      </x:c>
      <x:c r="D19" s="40" t="str">
        <x:v>Not started</x:v>
      </x:c>
      <x:c r="E19" s="40" t="str">
        <x:v>Not started</x:v>
      </x:c>
      <x:c r="F19" s="66" t="str"/>
      <x:c r="G19" s="65" t="str">
        <x:v>Enable</x:v>
      </x:c>
      <x:c r="H19" s="40" t="str">
        <x:v>Not started</x:v>
      </x:c>
      <x:c r="I19" s="40" t="str">
        <x:v>Not started</x:v>
      </x:c>
      <x:c r="J19" s="66" t="str"/>
      <x:c r="K19" s="65" t="str">
        <x:v>Disable</x:v>
      </x:c>
      <x:c r="L19" s="40" t="str">
        <x:v>Not started</x:v>
      </x:c>
      <x:c r="M19" s="40" t="str">
        <x:v>Not started</x:v>
      </x:c>
      <x:c r="N19" s="66" t="str"/>
      <x:c r="O19" s="47" t="str">
        <x:f>IF($B$3="Default Settings",B19,IF($B$3="C1 Wildlife",C19,IF($B$3="C2 Birds in Flight",G19,IF($B$3="C3 Landscape",K19,""))))</x:f>
        <x:v>Enable</x:v>
      </x:c>
      <x:c r="P19" s="47" t="str">
        <x:f>IF($C$3="Default Settings",B19,IF($C$3="C1 Wildlife",C19,IF($C$3="C2 Birds in Flight",G19,IF($C$3="C3 Landscape",K19,""))))</x:f>
        <x:v>Enable</x:v>
      </x:c>
      <x:c r="Q19" s="47" t="str">
        <x:f>IF($G$3="Default Settings",B19,IF($G$3="C1 Wildlife",C19,IF($G$3="C2 Birds in Flight",G19,IF($G$3="C3 Landscape",K19,""))))</x:f>
        <x:v>Enable</x:v>
      </x:c>
      <x:c r="R19" s="47" t="str">
        <x:f>IF($K$3="Default Settings",B19,IF($K$3="C1 Wildlife",C19,IF($K$3="C2 Birds in Flight",G19,IF($K$3="C3 Landscape",K19,""))))</x:f>
        <x:v>Enable</x:v>
      </x:c>
    </x:row>
    <x:row r="20" hidden="0">
      <x:c r="A20" s="52" t="str">
        <x:v>Drive Mode</x:v>
      </x:c>
      <x:c r="B20" s="54" t="str">
        <x:v>High Speed Continuous</x:v>
      </x:c>
      <x:c r="C20" s="65" t="str">
        <x:v>High Speed Continuous</x:v>
      </x:c>
      <x:c r="D20" s="40" t="str">
        <x:v>Not started</x:v>
      </x:c>
      <x:c r="E20" s="40" t="str">
        <x:v>Not started</x:v>
      </x:c>
      <x:c r="F20" s="66" t="str"/>
      <x:c r="G20" s="65" t="str">
        <x:v>High Speed Continuous+</x:v>
      </x:c>
      <x:c r="H20" s="40" t="str">
        <x:v>Not started</x:v>
      </x:c>
      <x:c r="I20" s="40" t="str">
        <x:v>Not started</x:v>
      </x:c>
      <x:c r="J20" s="66" t="str"/>
      <x:c r="K20" s="65" t="str">
        <x:v>Single Shot</x:v>
      </x:c>
      <x:c r="L20" s="40" t="str">
        <x:v>Not started</x:v>
      </x:c>
      <x:c r="M20" s="40" t="str">
        <x:v>Not started</x:v>
      </x:c>
      <x:c r="N20" s="66" t="str"/>
      <x:c r="O20" s="47" t="str">
        <x:f>IF($B$3="Default Settings",B20,IF($B$3="C1 Wildlife",C20,IF($B$3="C2 Birds in Flight",G20,IF($B$3="C3 Landscape",K20,""))))</x:f>
        <x:v>High Speed Continuous</x:v>
      </x:c>
      <x:c r="P20" s="47" t="str">
        <x:f>IF($C$3="Default Settings",B20,IF($C$3="C1 Wildlife",C20,IF($C$3="C2 Birds in Flight",G20,IF($C$3="C3 Landscape",K20,""))))</x:f>
        <x:v>High Speed Continuous</x:v>
      </x:c>
      <x:c r="Q20" s="47" t="str">
        <x:f>IF($G$3="Default Settings",B20,IF($G$3="C1 Wildlife",C20,IF($G$3="C2 Birds in Flight",G20,IF($G$3="C3 Landscape",K20,""))))</x:f>
        <x:v>High Speed Continuous</x:v>
      </x:c>
      <x:c r="R20" s="47" t="str">
        <x:f>IF($K$3="Default Settings",B20,IF($K$3="C1 Wildlife",C20,IF($K$3="C2 Birds in Flight",G20,IF($K$3="C3 Landscape",K20,""))))</x:f>
        <x:v>High Speed Continuous</x:v>
      </x:c>
    </x:row>
    <x:row r="21" hidden="0">
      <x:c r="A21" s="52" t="str">
        <x:v>High Speed Display</x:v>
      </x:c>
      <x:c r="B21" s="54" t="str">
        <x:v>Enable</x:v>
      </x:c>
      <x:c r="C21" s="65" t="str">
        <x:v>Enable</x:v>
      </x:c>
      <x:c r="D21" s="40" t="str">
        <x:v>Not started</x:v>
      </x:c>
      <x:c r="E21" s="40" t="str">
        <x:v>Not started</x:v>
      </x:c>
      <x:c r="F21" s="66" t="str"/>
      <x:c r="G21" s="65" t="str">
        <x:v>Not Used</x:v>
      </x:c>
      <x:c r="H21" s="40" t="str">
        <x:v>Not started</x:v>
      </x:c>
      <x:c r="I21" s="40" t="str">
        <x:v>Not started</x:v>
      </x:c>
      <x:c r="J21" s="66" t="str"/>
      <x:c r="K21" s="65" t="str">
        <x:v>Not Used</x:v>
      </x:c>
      <x:c r="L21" s="40" t="str">
        <x:v>Not started</x:v>
      </x:c>
      <x:c r="M21" s="40" t="str">
        <x:v>Not started</x:v>
      </x:c>
      <x:c r="N21" s="66" t="str"/>
      <x:c r="O21" s="47" t="str">
        <x:f>IF($B$3="Default Settings",B21,IF($B$3="C1 Wildlife",C21,IF($B$3="C2 Birds in Flight",G21,IF($B$3="C3 Landscape",K21,""))))</x:f>
        <x:v>Enable</x:v>
      </x:c>
      <x:c r="P21" s="47" t="str">
        <x:f>IF($C$3="Default Settings",B21,IF($C$3="C1 Wildlife",C21,IF($C$3="C2 Birds in Flight",G21,IF($C$3="C3 Landscape",K21,""))))</x:f>
        <x:v>Enable</x:v>
      </x:c>
      <x:c r="Q21" s="47" t="str">
        <x:f>IF($G$3="Default Settings",B21,IF($G$3="C1 Wildlife",C21,IF($G$3="C2 Birds in Flight",G21,IF($G$3="C3 Landscape",K21,""))))</x:f>
        <x:v>Enable</x:v>
      </x:c>
      <x:c r="R21" s="47" t="str">
        <x:f>IF($K$3="Default Settings",B21,IF($K$3="C1 Wildlife",C21,IF($K$3="C2 Birds in Flight",G21,IF($K$3="C3 Landscape",K21,""))))</x:f>
        <x:v>Enable</x:v>
      </x:c>
    </x:row>
    <x:row r="22" hidden="0">
      <x:c r="A22" s="52" t="str">
        <x:v>Shutter Type</x:v>
      </x:c>
      <x:c r="B22" s="54" t="str">
        <x:v>EFCS</x:v>
      </x:c>
      <x:c r="C22" s="65" t="str">
        <x:v>EFCS</x:v>
      </x:c>
      <x:c r="D22" s="40" t="str">
        <x:v>Not started</x:v>
      </x:c>
      <x:c r="E22" s="40" t="str">
        <x:v>Not started</x:v>
      </x:c>
      <x:c r="F22" s="66" t="str"/>
      <x:c r="G22" s="65" t="str">
        <x:v>Mechanical</x:v>
      </x:c>
      <x:c r="H22" s="40" t="str">
        <x:v>Not started</x:v>
      </x:c>
      <x:c r="I22" s="40" t="str">
        <x:v>Not started</x:v>
      </x:c>
      <x:c r="J22" s="66" t="str"/>
      <x:c r="K22" s="65" t="str">
        <x:v>EFCS</x:v>
      </x:c>
      <x:c r="L22" s="40" t="str">
        <x:v>Not started</x:v>
      </x:c>
      <x:c r="M22" s="40" t="str">
        <x:v>Not started</x:v>
      </x:c>
      <x:c r="N22" s="66" t="str"/>
      <x:c r="O22" s="47" t="str">
        <x:f>IF($B$3="Default Settings",B22,IF($B$3="C1 Wildlife",C22,IF($B$3="C2 Birds in Flight",G22,IF($B$3="C3 Landscape",K22,""))))</x:f>
        <x:v>EFCS</x:v>
      </x:c>
      <x:c r="P22" s="47" t="str">
        <x:f>IF($C$3="Default Settings",B22,IF($C$3="C1 Wildlife",C22,IF($C$3="C2 Birds in Flight",G22,IF($C$3="C3 Landscape",K22,""))))</x:f>
        <x:v>EFCS</x:v>
      </x:c>
      <x:c r="Q22" s="47" t="str">
        <x:f>IF($G$3="Default Settings",B22,IF($G$3="C1 Wildlife",C22,IF($G$3="C2 Birds in Flight",G22,IF($G$3="C3 Landscape",K22,""))))</x:f>
        <x:v>EFCS</x:v>
      </x:c>
      <x:c r="R22" s="47" t="str">
        <x:f>IF($K$3="Default Settings",B22,IF($K$3="C1 Wildlife",C22,IF($K$3="C2 Birds in Flight",G22,IF($K$3="C3 Landscape",K22,""))))</x:f>
        <x:v>EFCS</x:v>
      </x:c>
    </x:row>
    <x:row r="23" hidden="0">
      <x:c r="A23" s="52" t="str">
        <x:v>Image Stabilizer Mode</x:v>
      </x:c>
      <x:c r="B23" s="54" t="str">
        <x:v>Mode 1</x:v>
      </x:c>
      <x:c r="C23" s="65" t="str">
        <x:v>Mode 1</x:v>
      </x:c>
      <x:c r="D23" s="40" t="str">
        <x:v>Not started</x:v>
      </x:c>
      <x:c r="E23" s="40" t="str">
        <x:v>Not started</x:v>
      </x:c>
      <x:c r="F23" s="66" t="str"/>
      <x:c r="G23" s="65" t="str">
        <x:v>Mode 3</x:v>
      </x:c>
      <x:c r="H23" s="40" t="str">
        <x:v>Not started</x:v>
      </x:c>
      <x:c r="I23" s="40" t="str">
        <x:v>Not started</x:v>
      </x:c>
      <x:c r="J23" s="66" t="str"/>
      <x:c r="K23" s="65" t="str">
        <x:v>Mode 1</x:v>
      </x:c>
      <x:c r="L23" s="40" t="str">
        <x:v>Not started</x:v>
      </x:c>
      <x:c r="M23" s="40" t="str">
        <x:v>Not started</x:v>
      </x:c>
      <x:c r="N23" s="66" t="str"/>
      <x:c r="O23" s="47" t="str">
        <x:f>IF($B$3="Default Settings",B23,IF($B$3="C1 Wildlife",C23,IF($B$3="C2 Birds in Flight",G23,IF($B$3="C3 Landscape",K23,""))))</x:f>
        <x:v>Mode 1</x:v>
      </x:c>
      <x:c r="P23" s="47" t="str">
        <x:f>IF($C$3="Default Settings",B23,IF($C$3="C1 Wildlife",C23,IF($C$3="C2 Birds in Flight",G23,IF($C$3="C3 Landscape",K23,""))))</x:f>
        <x:v>Mode 1</x:v>
      </x:c>
      <x:c r="Q23" s="47" t="str">
        <x:f>IF($G$3="Default Settings",B23,IF($G$3="C1 Wildlife",C23,IF($G$3="C2 Birds in Flight",G23,IF($G$3="C3 Landscape",K23,""))))</x:f>
        <x:v>Mode 1</x:v>
      </x:c>
      <x:c r="R23" s="47" t="str">
        <x:f>IF($K$3="Default Settings",B23,IF($K$3="C1 Wildlife",C23,IF($K$3="C2 Birds in Flight",G23,IF($K$3="C3 Landscape",K23,""))))</x:f>
        <x:v>Mode 1</x:v>
      </x:c>
    </x:row>
    <x:row r="24" hidden="0">
      <x:c r="A24" s="52" t="str">
        <x:v>IBIS</x:v>
      </x:c>
      <x:c r="B24" s="54" t="str">
        <x:v>On</x:v>
      </x:c>
      <x:c r="C24" s="65" t="str">
        <x:v>On</x:v>
      </x:c>
      <x:c r="D24" s="40" t="str">
        <x:v>Not started</x:v>
      </x:c>
      <x:c r="E24" s="40" t="str">
        <x:v>Not started</x:v>
      </x:c>
      <x:c r="F24" s="66" t="str"/>
      <x:c r="G24" s="65" t="str">
        <x:v>On</x:v>
      </x:c>
      <x:c r="H24" s="40" t="str">
        <x:v>Not started</x:v>
      </x:c>
      <x:c r="I24" s="40" t="str">
        <x:v>Not started</x:v>
      </x:c>
      <x:c r="J24" s="66" t="str"/>
      <x:c r="K24" s="65" t="str">
        <x:v>On</x:v>
      </x:c>
      <x:c r="L24" s="40" t="str">
        <x:v>Not started</x:v>
      </x:c>
      <x:c r="M24" s="40" t="str">
        <x:v>Not started</x:v>
      </x:c>
      <x:c r="N24" s="66" t="str"/>
      <x:c r="O24" s="47" t="str">
        <x:f>IF($B$3="Default Settings",B24,IF($B$3="C1 Wildlife",C24,IF($B$3="C2 Birds in Flight",G24,IF($B$3="C3 Landscape",K24,""))))</x:f>
        <x:v>On</x:v>
      </x:c>
      <x:c r="P24" s="47" t="str">
        <x:f>IF($C$3="Default Settings",B24,IF($C$3="C1 Wildlife",C24,IF($C$3="C2 Birds in Flight",G24,IF($C$3="C3 Landscape",K24,""))))</x:f>
        <x:v>On</x:v>
      </x:c>
      <x:c r="Q24" s="47" t="str">
        <x:f>IF($G$3="Default Settings",B24,IF($G$3="C1 Wildlife",C24,IF($G$3="C2 Birds in Flight",G24,IF($G$3="C3 Landscape",K24,""))))</x:f>
        <x:v>On</x:v>
      </x:c>
      <x:c r="R24" s="47" t="str">
        <x:f>IF($K$3="Default Settings",B24,IF($K$3="C1 Wildlife",C24,IF($K$3="C2 Birds in Flight",G24,IF($K$3="C3 Landscape",K24,""))))</x:f>
        <x:v>On</x:v>
      </x:c>
    </x:row>
    <x:row r="25" hidden="0">
      <x:c r="A25" s="52" t="str">
        <x:v>Focus Bracketing</x:v>
      </x:c>
      <x:c r="B25" s="54" t="str">
        <x:v>Disable</x:v>
      </x:c>
      <x:c r="C25" s="65" t="str">
        <x:v>Disable</x:v>
      </x:c>
      <x:c r="D25" s="40" t="str">
        <x:v>Not started</x:v>
      </x:c>
      <x:c r="E25" s="40" t="str">
        <x:v>Not started</x:v>
      </x:c>
      <x:c r="F25" s="66" t="str"/>
      <x:c r="G25" s="65" t="str">
        <x:v>Disable</x:v>
      </x:c>
      <x:c r="H25" s="40" t="str">
        <x:v>Not started</x:v>
      </x:c>
      <x:c r="I25" s="40" t="str">
        <x:v>Not started</x:v>
      </x:c>
      <x:c r="J25" s="66" t="str"/>
      <x:c r="K25" s="65" t="str">
        <x:v>Disable</x:v>
      </x:c>
      <x:c r="L25" s="40" t="str">
        <x:v>Not started</x:v>
      </x:c>
      <x:c r="M25" s="40" t="str">
        <x:v>Not started</x:v>
      </x:c>
      <x:c r="N25" s="66" t="str"/>
      <x:c r="O25" s="47" t="str">
        <x:f>IF($B$3="Default Settings",B25,IF($B$3="C1 Wildlife",C25,IF($B$3="C2 Birds in Flight",G25,IF($B$3="C3 Landscape",K25,""))))</x:f>
        <x:v>Disable</x:v>
      </x:c>
      <x:c r="P25" s="47" t="str">
        <x:f>IF($C$3="Default Settings",B25,IF($C$3="C1 Wildlife",C25,IF($C$3="C2 Birds in Flight",G25,IF($C$3="C3 Landscape",K25,""))))</x:f>
        <x:v>Disable</x:v>
      </x:c>
      <x:c r="Q25" s="47" t="str">
        <x:f>IF($G$3="Default Settings",B25,IF($G$3="C1 Wildlife",C25,IF($G$3="C2 Birds in Flight",G25,IF($G$3="C3 Landscape",K25,""))))</x:f>
        <x:v>Disable</x:v>
      </x:c>
      <x:c r="R25" s="47" t="str">
        <x:f>IF($K$3="Default Settings",B25,IF($K$3="C1 Wildlife",C25,IF($K$3="C2 Birds in Flight",G25,IF($K$3="C3 Landscape",K25,""))))</x:f>
        <x:v>Disable</x:v>
      </x:c>
    </x:row>
    <x:row r="26" hidden="0">
      <x:c r="A26" s="53" t="str">
        <x:v>Lens IS switch</x:v>
      </x:c>
      <x:c r="B26" s="55" t="str">
        <x:v>On</x:v>
      </x:c>
      <x:c r="C26" s="67" t="str">
        <x:v>On</x:v>
      </x:c>
      <x:c r="D26" s="68" t="str">
        <x:v>Not started</x:v>
      </x:c>
      <x:c r="E26" s="68" t="str">
        <x:v>Not started</x:v>
      </x:c>
      <x:c r="F26" s="69" t="str"/>
      <x:c r="G26" s="67" t="str">
        <x:v>On</x:v>
      </x:c>
      <x:c r="H26" s="68" t="str">
        <x:v>Not started</x:v>
      </x:c>
      <x:c r="I26" s="68" t="str">
        <x:v>Not started</x:v>
      </x:c>
      <x:c r="J26" s="69" t="str"/>
      <x:c r="K26" s="67" t="str">
        <x:v>On</x:v>
      </x:c>
      <x:c r="L26" s="68" t="str">
        <x:v>Not started</x:v>
      </x:c>
      <x:c r="M26" s="68" t="str">
        <x:v>Not started</x:v>
      </x:c>
      <x:c r="N26" s="69" t="str"/>
      <x:c r="O26" s="47" t="str">
        <x:f>IF($B$3="Default Settings",B26,IF($B$3="C1 Wildlife",C26,IF($B$3="C2 Birds in Flight",G26,IF($B$3="C3 Landscape",K26,""))))</x:f>
        <x:v>On</x:v>
      </x:c>
      <x:c r="P26" s="47" t="str">
        <x:f>IF($C$3="Default Settings",B26,IF($C$3="C1 Wildlife",C26,IF($C$3="C2 Birds in Flight",G26,IF($C$3="C3 Landscape",K26,""))))</x:f>
        <x:v>On</x:v>
      </x:c>
      <x:c r="Q26" s="47" t="str">
        <x:f>IF($G$3="Default Settings",B26,IF($G$3="C1 Wildlife",C26,IF($G$3="C2 Birds in Flight",G26,IF($G$3="C3 Landscape",K26,""))))</x:f>
        <x:v>On</x:v>
      </x:c>
      <x:c r="R26" s="47" t="str">
        <x:f>IF($K$3="Default Settings",B26,IF($K$3="C1 Wildlife",C26,IF($K$3="C2 Birds in Flight",G26,IF($K$3="C3 Landscape",K26,""))))</x:f>
        <x:v>On</x:v>
      </x:c>
    </x:row>
  </x:sheetData>
  <x:mergeCells>
    <x:mergeCell ref="A1:N1"/>
    <x:mergeCell ref="A2:N2"/>
  </x:mergeCells>
  <x:conditionalFormatting sqref="B5:B26">
    <x:cfRule type="cellIs" dxfId="5" priority="1" operator="notEqual">
      <x:formula>$O5</x:formula>
    </x:cfRule>
  </x:conditionalFormatting>
  <x:conditionalFormatting sqref="C5:C26">
    <x:cfRule type="cellIs" dxfId="6" priority="2" operator="notEqual">
      <x:formula>$P5</x:formula>
    </x:cfRule>
  </x:conditionalFormatting>
  <x:conditionalFormatting sqref="G5:G26">
    <x:cfRule type="cellIs" dxfId="7" priority="3" operator="notEqual">
      <x:formula>$Q5</x:formula>
    </x:cfRule>
  </x:conditionalFormatting>
  <x:conditionalFormatting sqref="K5:K26">
    <x:cfRule type="cellIs" dxfId="8" priority="4" operator="notEqual">
      <x:formula>$R5</x:formula>
    </x:cfRule>
  </x:conditionalFormatting>
  <x:dataValidations count="7">
    <x:dataValidation type="list" sqref="B3">
      <x:formula1>"Default Settings,C1 Wildlife,C2 Birds in Flight,C3 Landscape"</x:formula1>
    </x:dataValidation>
    <x:dataValidation type="list" sqref="C3">
      <x:formula1>"Default Settings,C1 Wildlife,C2 Birds in Flight,C3 Landscape"</x:formula1>
    </x:dataValidation>
    <x:dataValidation type="list" sqref="G3">
      <x:formula1>"Default Settings,C1 Wildlife,C2 Birds in Flight,C3 Landscape"</x:formula1>
    </x:dataValidation>
    <x:dataValidation type="list" sqref="K3">
      <x:formula1>"Default Settings,C1 Wildlife,C2 Birds in Flight,C3 Landscape"</x:formula1>
    </x:dataValidation>
    <x:dataValidation type="list" sqref="D5:E26">
      <x:formula1>"Not started,Pass,Fail,Needs retest,Not applicable"</x:formula1>
    </x:dataValidation>
    <x:dataValidation type="list" sqref="H5:I26">
      <x:formula1>"Not started,Pass,Fail,Needs retest,Not applicable"</x:formula1>
    </x:dataValidation>
    <x:dataValidation type="list" sqref="L5:M26">
      <x:formula1>"Not started,Pass,Fail,Needs retest,Not applicable"</x:formula1>
    </x:dataValidation>
  </x:dataValidations>
  <x:pageMargins left="0.7" right="0.7" top="0.75" bottom="0.75" header="0.3" footer="0.3"/>
  <x:tableParts count="1">
    <x:tablePart ns1:id="Rce19ceaabda14f84"/>
  </x:tableParts>
</x:worksheet>
</file>

<file path=xl/worksheets/sheet4.xml><?xml version="1.0" encoding="utf-8"?>
<x:worksheet xmlns:ns1="http://schemas.openxmlformats.org/officeDocument/2006/relationships" xmlns:x="http://schemas.openxmlformats.org/spreadsheetml/2006/main">
  <x:sheetViews>
    <x:sheetView showGridLines="0" workbookViewId="0"/>
  </x:sheetViews>
  <x:sheetFormatPr defaultRowHeight="15"/>
  <x:cols>
    <x:col min="1" max="1" width="14.220000267028809" hidden="0" customWidth="1"/>
    <x:col min="2" max="2" width="12.4399995803833" hidden="0" customWidth="1"/>
    <x:col min="3" max="3" width="32" hidden="0" customWidth="1"/>
    <x:col min="4" max="4" width="12.4399995803833" hidden="0" customWidth="1"/>
    <x:col min="5" max="5" width="17.780000686645508" hidden="0" customWidth="1"/>
    <x:col min="6" max="6" width="21.329999923706055" hidden="0" customWidth="1"/>
    <x:col min="7" max="7" width="21.329999923706055" hidden="0" customWidth="1"/>
    <x:col min="8" max="8" width="19.559999465942383" hidden="0" customWidth="1"/>
    <x:col min="9" max="9" width="17.780000686645508" hidden="0" customWidth="1"/>
    <x:col min="10" max="10" width="32" hidden="0" customWidth="1"/>
    <x:col min="11" max="11" width="32" hidden="0" customWidth="1"/>
    <x:col min="12" max="12" width="33.779998779296875" hidden="0" customWidth="1"/>
  </x:cols>
  <x:sheetData>
    <x:row r="1">
      <x:c r="A1" s="34" t="str">
        <x:v>Verification Sessions</x:v>
      </x:c>
      <x:c r="B1" s="34"/>
      <x:c r="C1" s="34"/>
      <x:c r="D1" s="34"/>
      <x:c r="E1" s="34"/>
      <x:c r="F1" s="34"/>
      <x:c r="G1" s="34"/>
      <x:c r="H1" s="34"/>
      <x:c r="I1" s="34"/>
      <x:c r="J1" s="34"/>
      <x:c r="K1" s="34"/>
      <x:c r="L1" s="34"/>
    </x:row>
    <x:row r="2">
      <x:c r="A2" s="38" t="str">
        <x:v>Use one row per camera session. Reference the Session ID from Checklist rows so evidence and observations remain traceable.</x:v>
      </x:c>
      <x:c r="B2" s="38"/>
      <x:c r="C2" s="38"/>
      <x:c r="D2" s="38"/>
      <x:c r="E2" s="38"/>
      <x:c r="F2" s="38"/>
      <x:c r="G2" s="38"/>
      <x:c r="H2" s="38"/>
      <x:c r="I2" s="38"/>
      <x:c r="J2" s="38"/>
      <x:c r="K2" s="38"/>
      <x:c r="L2" s="38"/>
    </x:row>
    <x:row r="3" ht="12" customHeight="1"/>
    <x:row r="4" hidden="0">
      <x:c r="A4" s="5" t="str">
        <x:v>Session ID</x:v>
      </x:c>
      <x:c r="B4" s="5" t="str">
        <x:v>Date</x:v>
      </x:c>
      <x:c r="C4" s="5" t="str">
        <x:v>Goal</x:v>
      </x:c>
      <x:c r="D4" s="5" t="str">
        <x:v>Firmware</x:v>
      </x:c>
      <x:c r="E4" s="5" t="str">
        <x:v>Battery / Charge</x:v>
      </x:c>
      <x:c r="F4" s="5" t="str">
        <x:v>Lens</x:v>
      </x:c>
      <x:c r="G4" s="5" t="str">
        <x:v>Flash / Trigger</x:v>
      </x:c>
      <x:c r="H4" s="5" t="str">
        <x:v>Starting Backup</x:v>
      </x:c>
      <x:c r="I4" s="5" t="str">
        <x:v>Image Range</x:v>
      </x:c>
      <x:c r="J4" s="5" t="str">
        <x:v>Outcome</x:v>
      </x:c>
      <x:c r="K4" s="5" t="str">
        <x:v>Next Session</x:v>
      </x:c>
      <x:c r="L4" s="5" t="str">
        <x:v>Notes</x:v>
      </x:c>
    </x:row>
    <x:row r="5" hidden="0">
      <x:c r="A5" s="40" t="str"/>
      <x:c r="B5" s="70" t="str"/>
      <x:c r="C5" s="40" t="str"/>
      <x:c r="D5" s="40" t="str"/>
      <x:c r="E5" s="40" t="str"/>
      <x:c r="F5" s="40" t="str"/>
      <x:c r="G5" s="40" t="str"/>
      <x:c r="H5" s="40" t="str"/>
      <x:c r="I5" s="40" t="str"/>
      <x:c r="J5" s="40" t="str"/>
      <x:c r="K5" s="40" t="str"/>
      <x:c r="L5" s="40" t="str"/>
    </x:row>
    <x:row r="6" hidden="0">
      <x:c r="A6" s="40" t="str"/>
      <x:c r="B6" s="70" t="str"/>
      <x:c r="C6" s="40" t="str"/>
      <x:c r="D6" s="40" t="str"/>
      <x:c r="E6" s="40" t="str"/>
      <x:c r="F6" s="40" t="str"/>
      <x:c r="G6" s="40" t="str"/>
      <x:c r="H6" s="40" t="str"/>
      <x:c r="I6" s="40" t="str"/>
      <x:c r="J6" s="40" t="str"/>
      <x:c r="K6" s="40" t="str"/>
      <x:c r="L6" s="40" t="str"/>
    </x:row>
    <x:row r="7" hidden="0">
      <x:c r="A7" s="40" t="str"/>
      <x:c r="B7" s="70" t="str"/>
      <x:c r="C7" s="40" t="str"/>
      <x:c r="D7" s="40" t="str"/>
      <x:c r="E7" s="40" t="str"/>
      <x:c r="F7" s="40" t="str"/>
      <x:c r="G7" s="40" t="str"/>
      <x:c r="H7" s="40" t="str"/>
      <x:c r="I7" s="40" t="str"/>
      <x:c r="J7" s="40" t="str"/>
      <x:c r="K7" s="40" t="str"/>
      <x:c r="L7" s="40" t="str"/>
    </x:row>
    <x:row r="8" hidden="0">
      <x:c r="A8" s="40" t="str"/>
      <x:c r="B8" s="70" t="str"/>
      <x:c r="C8" s="40" t="str"/>
      <x:c r="D8" s="40" t="str"/>
      <x:c r="E8" s="40" t="str"/>
      <x:c r="F8" s="40" t="str"/>
      <x:c r="G8" s="40" t="str"/>
      <x:c r="H8" s="40" t="str"/>
      <x:c r="I8" s="40" t="str"/>
      <x:c r="J8" s="40" t="str"/>
      <x:c r="K8" s="40" t="str"/>
      <x:c r="L8" s="40" t="str"/>
    </x:row>
    <x:row r="9" hidden="0">
      <x:c r="A9" s="40" t="str"/>
      <x:c r="B9" s="70" t="str"/>
      <x:c r="C9" s="40" t="str"/>
      <x:c r="D9" s="40" t="str"/>
      <x:c r="E9" s="40" t="str"/>
      <x:c r="F9" s="40" t="str"/>
      <x:c r="G9" s="40" t="str"/>
      <x:c r="H9" s="40" t="str"/>
      <x:c r="I9" s="40" t="str"/>
      <x:c r="J9" s="40" t="str"/>
      <x:c r="K9" s="40" t="str"/>
      <x:c r="L9" s="40" t="str"/>
    </x:row>
    <x:row r="10" hidden="0">
      <x:c r="A10" s="40" t="str"/>
      <x:c r="B10" s="70" t="str"/>
      <x:c r="C10" s="40" t="str"/>
      <x:c r="D10" s="40" t="str"/>
      <x:c r="E10" s="40" t="str"/>
      <x:c r="F10" s="40" t="str"/>
      <x:c r="G10" s="40" t="str"/>
      <x:c r="H10" s="40" t="str"/>
      <x:c r="I10" s="40" t="str"/>
      <x:c r="J10" s="40" t="str"/>
      <x:c r="K10" s="40" t="str"/>
      <x:c r="L10" s="40" t="str"/>
    </x:row>
    <x:row r="11" hidden="0">
      <x:c r="A11" s="40" t="str"/>
      <x:c r="B11" s="70" t="str"/>
      <x:c r="C11" s="40" t="str"/>
      <x:c r="D11" s="40" t="str"/>
      <x:c r="E11" s="40" t="str"/>
      <x:c r="F11" s="40" t="str"/>
      <x:c r="G11" s="40" t="str"/>
      <x:c r="H11" s="40" t="str"/>
      <x:c r="I11" s="40" t="str"/>
      <x:c r="J11" s="40" t="str"/>
      <x:c r="K11" s="40" t="str"/>
      <x:c r="L11" s="40" t="str"/>
    </x:row>
    <x:row r="12" hidden="0">
      <x:c r="A12" s="40" t="str"/>
      <x:c r="B12" s="70" t="str"/>
      <x:c r="C12" s="40" t="str"/>
      <x:c r="D12" s="40" t="str"/>
      <x:c r="E12" s="40" t="str"/>
      <x:c r="F12" s="40" t="str"/>
      <x:c r="G12" s="40" t="str"/>
      <x:c r="H12" s="40" t="str"/>
      <x:c r="I12" s="40" t="str"/>
      <x:c r="J12" s="40" t="str"/>
      <x:c r="K12" s="40" t="str"/>
      <x:c r="L12" s="40" t="str"/>
    </x:row>
    <x:row r="13" hidden="0">
      <x:c r="A13" s="40" t="str"/>
      <x:c r="B13" s="70" t="str"/>
      <x:c r="C13" s="40" t="str"/>
      <x:c r="D13" s="40" t="str"/>
      <x:c r="E13" s="40" t="str"/>
      <x:c r="F13" s="40" t="str"/>
      <x:c r="G13" s="40" t="str"/>
      <x:c r="H13" s="40" t="str"/>
      <x:c r="I13" s="40" t="str"/>
      <x:c r="J13" s="40" t="str"/>
      <x:c r="K13" s="40" t="str"/>
      <x:c r="L13" s="40" t="str"/>
    </x:row>
    <x:row r="14" hidden="0">
      <x:c r="A14" s="40" t="str"/>
      <x:c r="B14" s="70" t="str"/>
      <x:c r="C14" s="40" t="str"/>
      <x:c r="D14" s="40" t="str"/>
      <x:c r="E14" s="40" t="str"/>
      <x:c r="F14" s="40" t="str"/>
      <x:c r="G14" s="40" t="str"/>
      <x:c r="H14" s="40" t="str"/>
      <x:c r="I14" s="40" t="str"/>
      <x:c r="J14" s="40" t="str"/>
      <x:c r="K14" s="40" t="str"/>
      <x:c r="L14" s="40" t="str"/>
    </x:row>
    <x:row r="15" hidden="0">
      <x:c r="A15" s="40" t="str"/>
      <x:c r="B15" s="70" t="str"/>
      <x:c r="C15" s="40" t="str"/>
      <x:c r="D15" s="40" t="str"/>
      <x:c r="E15" s="40" t="str"/>
      <x:c r="F15" s="40" t="str"/>
      <x:c r="G15" s="40" t="str"/>
      <x:c r="H15" s="40" t="str"/>
      <x:c r="I15" s="40" t="str"/>
      <x:c r="J15" s="40" t="str"/>
      <x:c r="K15" s="40" t="str"/>
      <x:c r="L15" s="40" t="str"/>
    </x:row>
    <x:row r="16" hidden="0">
      <x:c r="A16" s="40" t="str"/>
      <x:c r="B16" s="70" t="str"/>
      <x:c r="C16" s="40" t="str"/>
      <x:c r="D16" s="40" t="str"/>
      <x:c r="E16" s="40" t="str"/>
      <x:c r="F16" s="40" t="str"/>
      <x:c r="G16" s="40" t="str"/>
      <x:c r="H16" s="40" t="str"/>
      <x:c r="I16" s="40" t="str"/>
      <x:c r="J16" s="40" t="str"/>
      <x:c r="K16" s="40" t="str"/>
      <x:c r="L16" s="40" t="str"/>
    </x:row>
    <x:row r="17" hidden="0">
      <x:c r="A17" s="40" t="str"/>
      <x:c r="B17" s="70" t="str"/>
      <x:c r="C17" s="40" t="str"/>
      <x:c r="D17" s="40" t="str"/>
      <x:c r="E17" s="40" t="str"/>
      <x:c r="F17" s="40" t="str"/>
      <x:c r="G17" s="40" t="str"/>
      <x:c r="H17" s="40" t="str"/>
      <x:c r="I17" s="40" t="str"/>
      <x:c r="J17" s="40" t="str"/>
      <x:c r="K17" s="40" t="str"/>
      <x:c r="L17" s="40" t="str"/>
    </x:row>
    <x:row r="18" hidden="0">
      <x:c r="A18" s="40" t="str"/>
      <x:c r="B18" s="70" t="str"/>
      <x:c r="C18" s="40" t="str"/>
      <x:c r="D18" s="40" t="str"/>
      <x:c r="E18" s="40" t="str"/>
      <x:c r="F18" s="40" t="str"/>
      <x:c r="G18" s="40" t="str"/>
      <x:c r="H18" s="40" t="str"/>
      <x:c r="I18" s="40" t="str"/>
      <x:c r="J18" s="40" t="str"/>
      <x:c r="K18" s="40" t="str"/>
      <x:c r="L18" s="40" t="str"/>
    </x:row>
    <x:row r="19" hidden="0">
      <x:c r="A19" s="40" t="str"/>
      <x:c r="B19" s="70" t="str"/>
      <x:c r="C19" s="40" t="str"/>
      <x:c r="D19" s="40" t="str"/>
      <x:c r="E19" s="40" t="str"/>
      <x:c r="F19" s="40" t="str"/>
      <x:c r="G19" s="40" t="str"/>
      <x:c r="H19" s="40" t="str"/>
      <x:c r="I19" s="40" t="str"/>
      <x:c r="J19" s="40" t="str"/>
      <x:c r="K19" s="40" t="str"/>
      <x:c r="L19" s="40" t="str"/>
    </x:row>
    <x:row r="20" hidden="0">
      <x:c r="A20" s="40" t="str"/>
      <x:c r="B20" s="70" t="str"/>
      <x:c r="C20" s="40" t="str"/>
      <x:c r="D20" s="40" t="str"/>
      <x:c r="E20" s="40" t="str"/>
      <x:c r="F20" s="40" t="str"/>
      <x:c r="G20" s="40" t="str"/>
      <x:c r="H20" s="40" t="str"/>
      <x:c r="I20" s="40" t="str"/>
      <x:c r="J20" s="40" t="str"/>
      <x:c r="K20" s="40" t="str"/>
      <x:c r="L20" s="40" t="str"/>
    </x:row>
    <x:row r="21" hidden="0">
      <x:c r="A21" s="40" t="str"/>
      <x:c r="B21" s="70" t="str"/>
      <x:c r="C21" s="40" t="str"/>
      <x:c r="D21" s="40" t="str"/>
      <x:c r="E21" s="40" t="str"/>
      <x:c r="F21" s="40" t="str"/>
      <x:c r="G21" s="40" t="str"/>
      <x:c r="H21" s="40" t="str"/>
      <x:c r="I21" s="40" t="str"/>
      <x:c r="J21" s="40" t="str"/>
      <x:c r="K21" s="40" t="str"/>
      <x:c r="L21" s="40" t="str"/>
    </x:row>
    <x:row r="22" hidden="0">
      <x:c r="A22" s="40" t="str"/>
      <x:c r="B22" s="70" t="str"/>
      <x:c r="C22" s="40" t="str"/>
      <x:c r="D22" s="40" t="str"/>
      <x:c r="E22" s="40" t="str"/>
      <x:c r="F22" s="40" t="str"/>
      <x:c r="G22" s="40" t="str"/>
      <x:c r="H22" s="40" t="str"/>
      <x:c r="I22" s="40" t="str"/>
      <x:c r="J22" s="40" t="str"/>
      <x:c r="K22" s="40" t="str"/>
      <x:c r="L22" s="40" t="str"/>
    </x:row>
    <x:row r="23" hidden="0">
      <x:c r="A23" s="40" t="str"/>
      <x:c r="B23" s="70" t="str"/>
      <x:c r="C23" s="40" t="str"/>
      <x:c r="D23" s="40" t="str"/>
      <x:c r="E23" s="40" t="str"/>
      <x:c r="F23" s="40" t="str"/>
      <x:c r="G23" s="40" t="str"/>
      <x:c r="H23" s="40" t="str"/>
      <x:c r="I23" s="40" t="str"/>
      <x:c r="J23" s="40" t="str"/>
      <x:c r="K23" s="40" t="str"/>
      <x:c r="L23" s="40" t="str"/>
    </x:row>
    <x:row r="24" hidden="0">
      <x:c r="A24" s="40" t="str"/>
      <x:c r="B24" s="70" t="str"/>
      <x:c r="C24" s="40" t="str"/>
      <x:c r="D24" s="40" t="str"/>
      <x:c r="E24" s="40" t="str"/>
      <x:c r="F24" s="40" t="str"/>
      <x:c r="G24" s="40" t="str"/>
      <x:c r="H24" s="40" t="str"/>
      <x:c r="I24" s="40" t="str"/>
      <x:c r="J24" s="40" t="str"/>
      <x:c r="K24" s="40" t="str"/>
      <x:c r="L24" s="40" t="str"/>
    </x:row>
  </x:sheetData>
  <x:mergeCells>
    <x:mergeCell ref="A1:L1"/>
    <x:mergeCell ref="A2:L2"/>
  </x:mergeCells>
  <x:pageMargins left="0.7" right="0.7" top="0.75" bottom="0.75" header="0.3" footer="0.3"/>
  <x:tableParts count="1">
    <x:tablePart ns1:id="R9fafa41c0b3c42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31" hidden="0" customWidth="1"/>
    <x:col min="3" max="3" width="31" hidden="0" customWidth="1"/>
    <x:col min="4" max="4" width="31" hidden="0" customWidth="1"/>
    <x:col min="5" max="5" width="31" hidden="0" customWidth="1"/>
  </x:cols>
  <x:sheetData>
    <x:row r="1">
      <x:c r="A1" s="5" t="str">
        <x:v>Main Status</x:v>
      </x:c>
      <x:c r="B1" s="5" t="str">
        <x:v>Evidence Class</x:v>
      </x:c>
      <x:c r="C1" s="5" t="str">
        <x:v>Yes / No</x:v>
      </x:c>
      <x:c r="D1" s="5" t="str">
        <x:v>Registration Result</x:v>
      </x:c>
      <x:c r="E1" s="5" t="str">
        <x:v>Comparison Target</x:v>
      </x:c>
    </x:row>
    <x:row r="2">
      <x:c r="A2" s="7" t="str">
        <x:v>Not started</x:v>
      </x:c>
      <x:c r="B2" s="7" t="str">
        <x:v>Approved target pending verification</x:v>
      </x:c>
      <x:c r="C2" s="7" t="str">
        <x:v>Yes</x:v>
      </x:c>
      <x:c r="D2" s="7" t="str">
        <x:v>Not started</x:v>
      </x:c>
      <x:c r="E2" s="7" t="str">
        <x:v>Default Settings</x:v>
      </x:c>
    </x:row>
    <x:row r="3">
      <x:c r="A3" s="7" t="str">
        <x:v>In progress</x:v>
      </x:c>
      <x:c r="B3" s="7" t="str">
        <x:v>Owner-confirmed current configuration</x:v>
      </x:c>
      <x:c r="C3" s="7" t="str">
        <x:v>No</x:v>
      </x:c>
      <x:c r="D3" s="7" t="str">
        <x:v>Pass</x:v>
      </x:c>
      <x:c r="E3" s="7" t="str">
        <x:v>C1 Wildlife</x:v>
      </x:c>
    </x:row>
    <x:row r="4">
      <x:c r="A4" s="7" t="str">
        <x:v>Configured—not registered</x:v>
      </x:c>
      <x:c r="B4" s="7" t="str">
        <x:v>Verified Canon capability</x:v>
      </x:c>
      <x:c r="C4" s="7" t="str">
        <x:v>Not applicable</x:v>
      </x:c>
      <x:c r="D4" s="7" t="str">
        <x:v>Fail</x:v>
      </x:c>
      <x:c r="E4" s="7" t="str">
        <x:v>C2 Birds in Flight</x:v>
      </x:c>
    </x:row>
    <x:row r="5">
      <x:c r="A5" s="7" t="str">
        <x:v>Registered—pending read-back</x:v>
      </x:c>
      <x:c r="B5" s="7" t="str">
        <x:v>Project recommendation</x:v>
      </x:c>
      <x:c r="C5" s="7"/>
      <x:c r="D5" s="7" t="str">
        <x:v>Needs retest</x:v>
      </x:c>
      <x:c r="E5" s="7" t="str">
        <x:v>C3 Landscape</x:v>
      </x:c>
    </x:row>
    <x:row r="6">
      <x:c r="A6" s="7" t="str">
        <x:v>Backup-Settings</x:v>
      </x:c>
      <x:c r="B6" s="7" t="str">
        <x:v>Unresolved</x:v>
      </x:c>
      <x:c r="C6" s="7"/>
      <x:c r="D6" s="7" t="str">
        <x:v>Not applicable</x:v>
      </x:c>
      <x:c r="E6" s="7"/>
    </x:row>
    <x:row r="7">
      <x:c r="A7" s="7" t="str">
        <x:v>Verified</x:v>
      </x:c>
      <x:c r="B7" s="7"/>
      <x:c r="C7" s="7"/>
      <x:c r="D7" s="7"/>
      <x:c r="E7" s="7"/>
    </x:row>
    <x:row r="8">
      <x:c r="A8" s="7" t="str">
        <x:v>Failed—needs correction</x:v>
      </x:c>
      <x:c r="B8" s="7"/>
      <x:c r="C8" s="7"/>
      <x:c r="D8" s="7"/>
      <x:c r="E8" s="7"/>
    </x:row>
    <x:row r="9">
      <x:c r="A9" s="7" t="str">
        <x:v>Inconclusive—needs retest</x:v>
      </x:c>
      <x:c r="B9" s="7"/>
      <x:c r="C9" s="7"/>
      <x:c r="D9" s="7"/>
      <x:c r="E9" s="7"/>
    </x:row>
    <x:row r="10">
      <x:c r="A10" s="7" t="str">
        <x:v>Blocked</x:v>
      </x:c>
      <x:c r="B10" s="7"/>
      <x:c r="C10" s="7"/>
      <x:c r="D10" s="7"/>
      <x:c r="E10" s="7"/>
    </x:row>
    <x:row r="11">
      <x:c r="A11" s="7" t="str">
        <x:v>Not applicable</x:v>
      </x:c>
      <x:c r="B11" s="7"/>
      <x:c r="C11" s="7"/>
      <x:c r="D11" s="7"/>
      <x:c r="E11" s="7"/>
    </x:row>
  </x:sheetData>
  <x:pageMargins left="0.7" right="0.7" top="0.75" bottom="0.75" header="0.3" footer="0.3"/>
</x:worksheet>
</file>

<file path=xl/worksheets/sheet6.xml><?xml version="1.0" encoding="utf-8"?>
<x:worksheet xmlns:ns1="http://schemas.openxmlformats.org/officeDocument/2006/relationships" xmlns:x="http://schemas.openxmlformats.org/spreadsheetml/2006/main">
  <x:sheetViews>
    <x:sheetView showGridLines="0" workbookViewId="0"/>
  </x:sheetViews>
  <x:sheetFormatPr defaultRowHeight="15"/>
  <x:cols>
    <x:col min="1" max="1" width="14.5600004196167" hidden="0" customWidth="1"/>
    <x:col min="2" max="2" width="21.329999923706055" hidden="0" customWidth="1"/>
    <x:col min="3" max="3" width="17.780000686645508" hidden="0" customWidth="1"/>
    <x:col min="4" max="4" width="44" hidden="0" customWidth="1"/>
    <x:col min="5" max="5" width="10.329999923706055" hidden="0" customWidth="1"/>
  </x:cols>
  <x:sheetData>
    <x:row r="1" hidden="0">
      <x:c r="A1" s="5" t="str">
        <x:v>Test ID</x:v>
      </x:c>
      <x:c r="B1" s="5" t="str">
        <x:v>Best Access</x:v>
      </x:c>
      <x:c r="C1" s="5" t="str">
        <x:v>Menu Location</x:v>
      </x:c>
      <x:c r="D1" s="5" t="str">
        <x:v>Menu Detail</x:v>
      </x:c>
      <x:c r="E1" s="5" t="str">
        <x:v>Sequence</x:v>
      </x:c>
    </x:row>
    <x:row r="2" hidden="0">
      <x:c r="A2" s="10" t="str">
        <x:v>SETUP-01</x:v>
      </x:c>
      <x:c r="B2" s="13" t="str">
        <x:v>MENU</x:v>
      </x:c>
      <x:c r="C2" s="14" t="str">
        <x:v>Set-up 5</x:v>
      </x:c>
      <x:c r="D2" s="15" t="str">
        <x:v>Save/load cam settings on card &gt; Save to card</x:v>
      </x:c>
      <x:c r="E2" s="17" t="n">
        <x:v>1</x:v>
      </x:c>
    </x:row>
    <x:row r="3" hidden="0">
      <x:c r="A3" s="10" t="str">
        <x:v>SETUP-02</x:v>
      </x:c>
      <x:c r="B3" s="13" t="str">
        <x:v>M-Fn recall; photograph or record</x:v>
      </x:c>
      <x:c r="C3" s="14" t="str">
        <x:v>No menu</x:v>
      </x:c>
      <x:c r="D3" s="15" t="str">
        <x:v>Recall C1, C2, and C3 and photograph or record their settings</x:v>
      </x:c>
      <x:c r="E3" s="17" t="n">
        <x:v>2</x:v>
      </x:c>
    </x:row>
    <x:row r="4" hidden="0">
      <x:c r="A4" s="10" t="str">
        <x:v>SETUP-03</x:v>
      </x:c>
      <x:c r="B4" s="13" t="str">
        <x:v>MENU</x:v>
      </x:c>
      <x:c r="C4" s="14" t="str">
        <x:v>Set-up 5</x:v>
      </x:c>
      <x:c r="D4" s="15" t="str">
        <x:v>Custom shooting mode (C1-C3) &gt; Auto update set. &gt; Disable</x:v>
      </x:c>
      <x:c r="E4" s="17" t="n">
        <x:v>3</x:v>
      </x:c>
    </x:row>
    <x:row r="5" hidden="0">
      <x:c r="A5" s="10" t="str">
        <x:v>SETUP-MM-01</x:v>
      </x:c>
      <x:c r="B5" s="13" t="str">
        <x:v>My Menu</x:v>
      </x:c>
      <x:c r="C5" s="14" t="str">
        <x:v>My Menu</x:v>
      </x:c>
      <x:c r="D5" s="15" t="str">
        <x:v>Create tab SWITCH; register Subject to detect, Shutter mode, Focus bracketing, IS (Image Stabilizer) mode, and Cropping/aspect ratio in order; leave position 6 open.</x:v>
      </x:c>
      <x:c r="E5" s="17" t="n">
        <x:v>4</x:v>
      </x:c>
    </x:row>
    <x:row r="6" hidden="0">
      <x:c r="A6" s="10" t="str">
        <x:v>SETUP-MM-AF-01</x:v>
      </x:c>
      <x:c r="B6" s="13" t="str">
        <x:v>My Menu</x:v>
      </x:c>
      <x:c r="C6" s="14" t="str">
        <x:v>My Menu</x:v>
      </x:c>
      <x:c r="D6" s="15" t="str">
        <x:v>Create tab AF Case; register Servo AF, Tracking Sensitivity, Accel./Decel. tracking, and Switching tracked subjects in order; confirm Servo AF opens the complete Case 1–4 / Case A selector without changing AF Operation and Switching tracked subjects opens the AF4 Initial priority / On subject / Switch subject control.</x:v>
      </x:c>
      <x:c r="E6" s="17" t="n">
        <x:v>5</x:v>
      </x:c>
    </x:row>
    <x:row r="7" hidden="0">
      <x:c r="A7" s="10" t="str">
        <x:v>SETUP-04</x:v>
      </x:c>
      <x:c r="B7" s="13" t="str">
        <x:v>Q screen; direct exposure controls; AF Point Selection button; MM-SWITCH for Subject to detect, Shutter mode, and Cropping/aspect ratio; MM-AF Case for Servo AF Case, parameters, and subject switching; Shooting 7 for High speed display</x:v>
      </x:c>
      <x:c r="C7" s="14" t="str">
        <x:v>Multiple</x:v>
      </x:c>
      <x:c r="D7" s="15" t="str">
        <x:v>Direct/Q: Fv, shutter Auto, aperture Auto, Auto ISO, Servo AF, High Speed Continuous, Evaluative metering; AF1: AF method, Subject to detect, Eye detection; My Menu AF Case or AF3: baseline Case A with automatic parameters, plus configure Case 1 to -1 / +1 without leaving it selected for the baseline; My Menu AF Case or AF4: Switching tracked subjects On subject; Shooting 1: Image quality and Cropping/aspect ratio; Shooting 2: ISO speed settings; Shooting 6: Shutter mode; Shooting 7: High speed display Enable; Shooting menu: IS (Image Stabilizer) mode</x:v>
      </x:c>
      <x:c r="E7" s="17" t="n">
        <x:v>6</x:v>
      </x:c>
    </x:row>
    <x:row r="8" hidden="0">
      <x:c r="A8" s="10" t="str">
        <x:v>SETUP-05</x:v>
      </x:c>
      <x:c r="B8" s="13" t="str">
        <x:v>MENU</x:v>
      </x:c>
      <x:c r="C8" s="14" t="str">
        <x:v>Multiple</x:v>
      </x:c>
      <x:c r="D8" s="15" t="str">
        <x:v>Shooting 7: Shooting info. disp. &gt; Screen info. settings &gt; Histogram &gt; RGB; Playback 5: Highlight alert &gt; Enable</x:v>
      </x:c>
      <x:c r="E8" s="17" t="n">
        <x:v>7</x:v>
      </x:c>
    </x:row>
    <x:row r="9" hidden="0">
      <x:c r="A9" s="10" t="str">
        <x:v>SETUP-06</x:v>
      </x:c>
      <x:c r="B9" s="13" t="str">
        <x:v>MENU</x:v>
      </x:c>
      <x:c r="C9" s="14" t="str">
        <x:v>Multiple</x:v>
      </x:c>
      <x:c r="D9" s="15" t="str">
        <x:v>Shooting 4: Long exp. noise reduction and High ISO speed NR; AF1: Continuous AF; AF menu: Lens electronic MF; Shooting 5: IBIS High resolution shot</x:v>
      </x:c>
      <x:c r="E9" s="17" t="n">
        <x:v>8</x:v>
      </x:c>
    </x:row>
    <x:row r="10" hidden="0">
      <x:c r="A10" s="10" t="str">
        <x:v>SETUP-07</x:v>
      </x:c>
      <x:c r="B10" s="13" t="str">
        <x:v>MENU</x:v>
      </x:c>
      <x:c r="C10" s="14" t="str">
        <x:v>AF menu</x:v>
      </x:c>
      <x:c r="D10" s="15" t="str">
        <x:v>MF peaking settings &gt; Peaking: On; Level: Low; Color: Red</x:v>
      </x:c>
      <x:c r="E10" s="17" t="n">
        <x:v>9</x:v>
      </x:c>
    </x:row>
    <x:row r="11" hidden="0">
      <x:c r="A11" s="10" t="str">
        <x:v>CTRL-CONFIG-01</x:v>
      </x:c>
      <x:c r="B11" s="13" t="str">
        <x:v>Physical controls; MENU</x:v>
      </x:c>
      <x:c r="C11" s="14" t="str">
        <x:v>Custom Functions 3</x:v>
      </x:c>
      <x:c r="D11" s="15" t="str">
        <x:v>Customize buttons and Customize dials; use Customize buttons for shutter half-press, AF-ON, AE Lock, AF Point Selection, lens AF, DOF, SET, joystick, and M-Fn</x:v>
      </x:c>
      <x:c r="E11" s="17" t="n">
        <x:v>10</x:v>
      </x:c>
    </x:row>
    <x:row r="12" hidden="0">
      <x:c r="A12" s="10" t="str">
        <x:v>BACKUP-SET-01</x:v>
      </x:c>
      <x:c r="B12" s="13" t="str">
        <x:v>MENU</x:v>
      </x:c>
      <x:c r="C12" s="14" t="str">
        <x:v>Set-up 5</x:v>
      </x:c>
      <x:c r="D12" s="15" t="str">
        <x:v>Save/load cam settings on card &gt; Save to card</x:v>
      </x:c>
      <x:c r="E12" s="17" t="n">
        <x:v>11</x:v>
      </x:c>
    </x:row>
    <x:row r="13" hidden="0">
      <x:c r="A13" s="10" t="str">
        <x:v>C1-CONFIG-01</x:v>
      </x:c>
      <x:c r="B13" s="13" t="str">
        <x:v>Q, dials, AF controls, MM-SWITCH, MM-AF Case, lens IS switch</x:v>
      </x:c>
      <x:c r="C13" s="14" t="str">
        <x:v>Multiple</x:v>
      </x:c>
      <x:c r="D13" s="15" t="str">
        <x:v>Shooting screen/Quick Control plus Shooting 1, Shooting 2, Shooting 5, Shooting 6, Shooting 7, AF1, My Menu AF Case or AF3 Servo AF characteristics, AF Drive mode, and lens IS switch</x:v>
      </x:c>
      <x:c r="E13" s="17" t="n">
        <x:v>12</x:v>
      </x:c>
    </x:row>
    <x:row r="14" hidden="0">
      <x:c r="A14" s="10" t="str">
        <x:v>C1-REG-01</x:v>
      </x:c>
      <x:c r="B14" s="13" t="str">
        <x:v>MENU</x:v>
      </x:c>
      <x:c r="C14" s="14" t="str">
        <x:v>Set-up 5</x:v>
      </x:c>
      <x:c r="D14" s="15" t="str">
        <x:v>Custom shooting mode (C1-C3) &gt; Register settings &gt; C1</x:v>
      </x:c>
      <x:c r="E14" s="17" t="n">
        <x:v>13</x:v>
      </x:c>
    </x:row>
    <x:row r="15" hidden="0">
      <x:c r="A15" s="10" t="str">
        <x:v>C1-READ-01</x:v>
      </x:c>
      <x:c r="B15" s="13" t="str">
        <x:v>M-Fn recall; Q; MM-SWITCH; MM-AF Case; MENU</x:v>
      </x:c>
      <x:c r="C15" s="14" t="str">
        <x:v>No single menu</x:v>
      </x:c>
      <x:c r="D15" s="15" t="str">
        <x:v>Recall C1 with M-Fn; verify the shooting screen, Quick Control screen, My Menu shortcuts, and applicable menu settings</x:v>
      </x:c>
      <x:c r="E15" s="17" t="n">
        <x:v>14</x:v>
      </x:c>
    </x:row>
    <x:row r="16" hidden="0">
      <x:c r="A16" s="10" t="str">
        <x:v>C1-OPS-01</x:v>
      </x:c>
      <x:c r="B16" s="13" t="str">
        <x:v>Physical controls</x:v>
      </x:c>
      <x:c r="C16" s="14" t="str">
        <x:v>No menu</x:v>
      </x:c>
      <x:c r="D16" s="15" t="str">
        <x:v>Operational shooting test</x:v>
      </x:c>
      <x:c r="E16" s="17" t="n">
        <x:v>15</x:v>
      </x:c>
    </x:row>
    <x:row r="17" hidden="0">
      <x:c r="A17" s="10" t="str">
        <x:v>C2-CONFIG-01</x:v>
      </x:c>
      <x:c r="B17" s="13" t="str">
        <x:v>Q, dials, AF controls, MM-SWITCH, MM-AF Case, lens IS switch</x:v>
      </x:c>
      <x:c r="C17" s="14" t="str">
        <x:v>Multiple</x:v>
      </x:c>
      <x:c r="D17" s="15" t="str">
        <x:v>Shooting screen/Quick Control plus Shooting 1, Shooting 2, Shooting 5, Shooting 6, Shooting 7, AF1, My Menu AF Case or AF3 Servo AF characteristics, AF Drive mode, and lens IS switch</x:v>
      </x:c>
      <x:c r="E17" s="17" t="n">
        <x:v>16</x:v>
      </x:c>
    </x:row>
    <x:row r="18" hidden="0">
      <x:c r="A18" s="10" t="str">
        <x:v>C2-REG-01</x:v>
      </x:c>
      <x:c r="B18" s="13" t="str">
        <x:v>MENU</x:v>
      </x:c>
      <x:c r="C18" s="14" t="str">
        <x:v>Set-up 5</x:v>
      </x:c>
      <x:c r="D18" s="15" t="str">
        <x:v>Custom shooting mode (C1-C3) &gt; Register settings &gt; C2</x:v>
      </x:c>
      <x:c r="E18" s="17" t="n">
        <x:v>17</x:v>
      </x:c>
    </x:row>
    <x:row r="19" hidden="0">
      <x:c r="A19" s="10" t="str">
        <x:v>C2-READ-01</x:v>
      </x:c>
      <x:c r="B19" s="13" t="str">
        <x:v>M-Fn recall; Q; MM-SWITCH; MM-AF Case; MENU</x:v>
      </x:c>
      <x:c r="C19" s="14" t="str">
        <x:v>No single menu</x:v>
      </x:c>
      <x:c r="D19" s="15" t="str">
        <x:v>Recall C2 with M-Fn; verify the shooting screen, Quick Control screen, My Menu shortcuts, and applicable menu settings</x:v>
      </x:c>
      <x:c r="E19" s="17" t="n">
        <x:v>18</x:v>
      </x:c>
    </x:row>
    <x:row r="20" hidden="0">
      <x:c r="A20" s="10" t="str">
        <x:v>C2-OPS-01</x:v>
      </x:c>
      <x:c r="B20" s="13" t="str">
        <x:v>Physical controls</x:v>
      </x:c>
      <x:c r="C20" s="14" t="str">
        <x:v>No menu</x:v>
      </x:c>
      <x:c r="D20" s="15" t="str">
        <x:v>Operational shooting test</x:v>
      </x:c>
      <x:c r="E20" s="17" t="n">
        <x:v>19</x:v>
      </x:c>
    </x:row>
    <x:row r="21" hidden="0">
      <x:c r="A21" s="10" t="str">
        <x:v>C3-CONFIG-01</x:v>
      </x:c>
      <x:c r="B21" s="13" t="str">
        <x:v>Q, dials, AF controls, MM-SWITCH, lens IS switch</x:v>
      </x:c>
      <x:c r="C21" s="14" t="str">
        <x:v>Multiple</x:v>
      </x:c>
      <x:c r="D21" s="15" t="str">
        <x:v>Shooting screen/Quick Control plus Shooting 1, Shooting 2, Shooting 5, Shooting 6, Shooting 7, AF1, AF Drive mode, and lens IS switch</x:v>
      </x:c>
      <x:c r="E21" s="17" t="n">
        <x:v>20</x:v>
      </x:c>
    </x:row>
    <x:row r="22" hidden="0">
      <x:c r="A22" s="10" t="str">
        <x:v>C3-REG-01</x:v>
      </x:c>
      <x:c r="B22" s="13" t="str">
        <x:v>MENU</x:v>
      </x:c>
      <x:c r="C22" s="14" t="str">
        <x:v>Set-up 5</x:v>
      </x:c>
      <x:c r="D22" s="15" t="str">
        <x:v>Custom shooting mode (C1-C3) &gt; Register settings &gt; C3</x:v>
      </x:c>
      <x:c r="E22" s="17" t="n">
        <x:v>21</x:v>
      </x:c>
    </x:row>
    <x:row r="23" hidden="0">
      <x:c r="A23" s="10" t="str">
        <x:v>C3-READ-01</x:v>
      </x:c>
      <x:c r="B23" s="13" t="str">
        <x:v>M-Fn recall; Q; MM-SWITCH; MENU</x:v>
      </x:c>
      <x:c r="C23" s="14" t="str">
        <x:v>No single menu</x:v>
      </x:c>
      <x:c r="D23" s="15" t="str">
        <x:v>Recall C3 with M-Fn; verify the shooting screen, Quick Control screen, My Menu shortcuts, and applicable menu settings</x:v>
      </x:c>
      <x:c r="E23" s="17" t="n">
        <x:v>22</x:v>
      </x:c>
    </x:row>
    <x:row r="24" hidden="0">
      <x:c r="A24" s="10" t="str">
        <x:v>BACKUP-SET-02</x:v>
      </x:c>
      <x:c r="B24" s="13" t="str">
        <x:v>MENU</x:v>
      </x:c>
      <x:c r="C24" s="14" t="str">
        <x:v>Set-up 5</x:v>
      </x:c>
      <x:c r="D24" s="15" t="str">
        <x:v>Save/load cam settings on card &gt; Save to card</x:v>
      </x:c>
      <x:c r="E24" s="17" t="n">
        <x:v>23</x:v>
      </x:c>
    </x:row>
    <x:row r="25" hidden="0">
      <x:c r="A25" s="10" t="str">
        <x:v>C3-OPS-01</x:v>
      </x:c>
      <x:c r="B25" s="13" t="str">
        <x:v>Physical controls</x:v>
      </x:c>
      <x:c r="C25" s="14" t="str">
        <x:v>No menu</x:v>
      </x:c>
      <x:c r="D25" s="15" t="str">
        <x:v>Operational shooting test</x:v>
      </x:c>
      <x:c r="E25" s="17" t="n">
        <x:v>24</x:v>
      </x:c>
    </x:row>
    <x:row r="26" hidden="0">
      <x:c r="A26" s="10" t="str">
        <x:v>CTRL-AFON-01</x:v>
      </x:c>
      <x:c r="B26" s="13" t="str">
        <x:v>AF-ON; INFO</x:v>
      </x:c>
      <x:c r="C26" s="14" t="str">
        <x:v>Custom Functions 3</x:v>
      </x:c>
      <x:c r="D26" s="15" t="str">
        <x:v>Customize buttons &gt; AF-ON; press INFO to verify AF Operation, AF Method, and Servo AF characteristics</x:v>
      </x:c>
      <x:c r="E26" s="17" t="n">
        <x:v>25</x:v>
      </x:c>
    </x:row>
    <x:row r="27" hidden="0">
      <x:c r="A27" s="10" t="str">
        <x:v>CTRL-AELOCK-01</x:v>
      </x:c>
      <x:c r="B27" s="13" t="str">
        <x:v>AE Lock; INFO</x:v>
      </x:c>
      <x:c r="C27" s="14" t="str">
        <x:v>Custom Functions 3</x:v>
      </x:c>
      <x:c r="D27" s="15" t="str">
        <x:v>Customize buttons &gt; AE Lock; press INFO to verify AF Operation, AF Method, and Servo AF characteristics</x:v>
      </x:c>
      <x:c r="E27" s="17" t="n">
        <x:v>26</x:v>
      </x:c>
    </x:row>
    <x:row r="28" hidden="0">
      <x:c r="A28" s="10" t="str">
        <x:v>CTRL-DOF-01</x:v>
      </x:c>
      <x:c r="B28" s="13" t="str">
        <x:v>DOF button</x:v>
      </x:c>
      <x:c r="C28" s="14" t="str">
        <x:v>Custom Functions 3</x:v>
      </x:c>
      <x:c r="D28" s="15" t="str">
        <x:v>Customize buttons &gt; Depth-of-field preview &gt; One-Shot AF ↔ Servo AF</x:v>
      </x:c>
      <x:c r="E28" s="17" t="n">
        <x:v>27</x:v>
      </x:c>
    </x:row>
    <x:row r="29" hidden="0">
      <x:c r="A29" s="10" t="str">
        <x:v>CTRL-SET-01</x:v>
      </x:c>
      <x:c r="B29" s="13" t="str">
        <x:v>SET button</x:v>
      </x:c>
      <x:c r="C29" s="14" t="str">
        <x:v>Custom Functions 3</x:v>
      </x:c>
      <x:c r="D29" s="15" t="str">
        <x:v>Customize buttons &gt; SET &gt; Eye detection</x:v>
      </x:c>
      <x:c r="E29" s="17" t="n">
        <x:v>28</x:v>
      </x:c>
    </x:row>
    <x:row r="30" hidden="0">
      <x:c r="A30" s="10" t="str">
        <x:v>CTRL-JOY-01</x:v>
      </x:c>
      <x:c r="B30" s="13" t="str">
        <x:v>Joystick</x:v>
      </x:c>
      <x:c r="C30" s="14" t="str">
        <x:v>Custom Functions 3</x:v>
      </x:c>
      <x:c r="D30" s="15" t="str">
        <x:v>Customize buttons &gt; Multi-controller &gt; Direct AF point selection</x:v>
      </x:c>
      <x:c r="E30" s="17" t="n">
        <x:v>29</x:v>
      </x:c>
    </x:row>
    <x:row r="31" hidden="0">
      <x:c r="A31" s="10" t="str">
        <x:v>EFCS-SHOCK-01</x:v>
      </x:c>
      <x:c r="B31" s="13" t="str">
        <x:v>MM-SWITCH</x:v>
      </x:c>
      <x:c r="C31" s="14" t="str">
        <x:v>Shooting 6</x:v>
      </x:c>
      <x:c r="D31" s="15" t="str">
        <x:v>Shutter mode; use EFCS and Mechanical for the comparison</x:v>
      </x:c>
      <x:c r="E31" s="17" t="n">
        <x:v>30</x:v>
      </x:c>
    </x:row>
    <x:row r="32" hidden="0">
      <x:c r="A32" s="10" t="str">
        <x:v>EFCS-BOKEH-01</x:v>
      </x:c>
      <x:c r="B32" s="13" t="str">
        <x:v>MM-SWITCH</x:v>
      </x:c>
      <x:c r="C32" s="14" t="str">
        <x:v>Shooting 6</x:v>
      </x:c>
      <x:c r="D32" s="15" t="str">
        <x:v>Shutter mode; use EFCS and Mechanical for the comparison</x:v>
      </x:c>
      <x:c r="E32" s="17" t="n">
        <x:v>31</x:v>
      </x:c>
    </x:row>
    <x:row r="33" hidden="0">
      <x:c r="A33" s="10" t="str">
        <x:v>EFCS-LIGHT-01</x:v>
      </x:c>
      <x:c r="B33" s="13" t="str">
        <x:v>MM-SWITCH; MENU for Anti-flicker</x:v>
      </x:c>
      <x:c r="C33" s="14" t="str">
        <x:v>Multiple</x:v>
      </x:c>
      <x:c r="D33" s="15" t="str">
        <x:v>Shooting 6: Shutter mode; Shooting 2: Anti-flicker shoot.</x:v>
      </x:c>
      <x:c r="E33" s="17" t="n">
        <x:v>32</x:v>
      </x:c>
    </x:row>
    <x:row r="34" hidden="0">
      <x:c r="A34" s="10" t="str">
        <x:v>EFCS-BURST-01</x:v>
      </x:c>
      <x:c r="B34" s="13" t="str">
        <x:v>MM-SWITCH; Q for Drive mode</x:v>
      </x:c>
      <x:c r="C34" s="14" t="str">
        <x:v>Multiple</x:v>
      </x:c>
      <x:c r="D34" s="15" t="str">
        <x:v>Shooting 6: Shutter mode; AF menu/Quick Control: Drive mode</x:v>
      </x:c>
      <x:c r="E34" s="17" t="n">
        <x:v>33</x:v>
      </x:c>
    </x:row>
    <x:row r="35" hidden="0">
      <x:c r="A35" s="10" t="str">
        <x:v>FLASH-PLUTO-01</x:v>
      </x:c>
      <x:c r="B35" s="13" t="str">
        <x:v>MM-SWITCH; shooting controls</x:v>
      </x:c>
      <x:c r="C35" s="14" t="str">
        <x:v>Multiple</x:v>
      </x:c>
      <x:c r="D35" s="15" t="str">
        <x:v>Shooting 6: Shutter mode &gt; Mechanical; shooting screen: M, 1/200 sec., aperture, ISO; Shooting 2: External Speedlite control when applicable</x:v>
      </x:c>
      <x:c r="E35" s="17" t="n">
        <x:v>34</x:v>
      </x:c>
    </x:row>
    <x:row r="36" hidden="0">
      <x:c r="A36" s="10" t="str">
        <x:v>FINAL-READ-01</x:v>
      </x:c>
      <x:c r="B36" s="13" t="str">
        <x:v>M-Fn; MM-SWITCH; MM-AF Case; Q; MENU</x:v>
      </x:c>
      <x:c r="C36" s="14" t="str">
        <x:v>Multiple</x:v>
      </x:c>
      <x:c r="D36" s="15" t="str">
        <x:v>Recall C1-C3 with M-Fn; verify SWITCH and AF Case; Set-up 5 confirm Auto update is disabled; Custom Functions 3 confirm control assignments</x:v>
      </x:c>
      <x:c r="E36" s="17" t="n">
        <x:v>35</x:v>
      </x:c>
    </x:row>
    <x:row r="37" hidden="0">
      <x:c r="A37" s="10" t="str">
        <x:v>FINAL-SAVE-01</x:v>
      </x:c>
      <x:c r="B37" s="13" t="str">
        <x:v>MENU</x:v>
      </x:c>
      <x:c r="C37" s="14" t="str">
        <x:v>Set-up 5</x:v>
      </x:c>
      <x:c r="D37" s="15" t="str">
        <x:v>Save/load cam settings on card &gt; Save to card</x:v>
      </x:c>
      <x:c r="E37" s="17" t="n">
        <x:v>36</x:v>
      </x:c>
    </x:row>
    <x:row r="38" hidden="0">
      <x:c r="A38" s="10" t="str">
        <x:v>PROJECT-UPDATE-01</x:v>
      </x:c>
      <x:c r="B38" s="13" t="str">
        <x:v>Completed tracker</x:v>
      </x:c>
      <x:c r="C38" s="14" t="str">
        <x:v>No camera menu</x:v>
      </x:c>
      <x:c r="D38" s="15" t="str">
        <x:v>Review the completed tracker and update the reference-system evidence states</x:v>
      </x:c>
      <x:c r="E38" s="17" t="n">
        <x:v>37</x:v>
      </x:c>
    </x:row>
  </x:sheetData>
  <x:pageMargins left="0.7" right="0.7" top="0.75" bottom="0.75" header="0.3" footer="0.3"/>
  <x:tableParts count="1">
    <x:tablePart ns1:id="R958a2fe5e27649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78" hidden="0" customWidth="1"/>
  </x:cols>
  <x:sheetData>
    <x:row r="1">
      <x:c r="A1" s="5" t="str">
        <x:v>Type</x:v>
      </x:c>
      <x:c r="B1" s="5" t="str">
        <x:v>ID</x:v>
      </x:c>
      <x:c r="C1" s="5" t="str">
        <x:v>Revision</x:v>
      </x:c>
    </x:row>
    <x:row r="2">
      <x:c r="A2" s="99" t="str">
        <x:v>workbook_revision</x:v>
      </x:c>
      <x:c r="B2" s="99" t="str"/>
      <x:c r="C2" s="99" t="str">
        <x:v>3</x:v>
      </x:c>
    </x:row>
    <x:row r="3">
      <x:c r="A3" s="99" t="str">
        <x:v>spreadsheet_build_id</x:v>
      </x:c>
      <x:c r="B3" s="99" t="str"/>
      <x:c r="C3" s="99" t="str">
        <x:v>S3-08d641519318</x:v>
      </x:c>
    </x:row>
    <x:row r="4">
      <x:c r="A4" s="99" t="str">
        <x:v>source_fingerprint</x:v>
      </x:c>
      <x:c r="B4" s="99" t="str"/>
      <x:c r="C4" s="99" t="str">
        <x:v>sha256:08d6415193181337fead9371040d20422e94b4ed704294692294a69805dca6db</x:v>
      </x:c>
    </x:row>
    <x:row r="5">
      <x:c r="A5" s="99" t="str">
        <x:v>test</x:v>
      </x:c>
      <x:c r="B5" s="99" t="str">
        <x:v>SETUP-01</x:v>
      </x:c>
      <x:c r="C5" s="99" t="str">
        <x:v>sha256:6298d64e10367b2e38e5d41253bb816c1012479ab7612afc5a53ad66630e975f</x:v>
      </x:c>
    </x:row>
    <x:row r="6">
      <x:c r="A6" s="99" t="str">
        <x:v>test</x:v>
      </x:c>
      <x:c r="B6" s="99" t="str">
        <x:v>SETUP-02</x:v>
      </x:c>
      <x:c r="C6" s="99" t="str">
        <x:v>sha256:2c28c37a65e2efee3349ec9d9c3a6e75de10e76697f1c3b5ec5ca8d1ceae0030</x:v>
      </x:c>
    </x:row>
    <x:row r="7">
      <x:c r="A7" s="99" t="str">
        <x:v>test</x:v>
      </x:c>
      <x:c r="B7" s="99" t="str">
        <x:v>SETUP-03</x:v>
      </x:c>
      <x:c r="C7" s="99" t="str">
        <x:v>sha256:eb596d6e2a1ad3dba500a053b487e07af4813566f59012575380f500c95740a3</x:v>
      </x:c>
    </x:row>
    <x:row r="8">
      <x:c r="A8" s="99" t="str">
        <x:v>test</x:v>
      </x:c>
      <x:c r="B8" s="99" t="str">
        <x:v>SETUP-MM-01</x:v>
      </x:c>
      <x:c r="C8" s="99" t="str">
        <x:v>sha256:c760cc1bea9609da89be5d36089ba2323849d51903b5f40f43c986536aab0cc0</x:v>
      </x:c>
    </x:row>
    <x:row r="9">
      <x:c r="A9" s="99" t="str">
        <x:v>test</x:v>
      </x:c>
      <x:c r="B9" s="99" t="str">
        <x:v>SETUP-MM-AF-01</x:v>
      </x:c>
      <x:c r="C9" s="99" t="str">
        <x:v>sha256:2b88f49e05b245e31f0d823f6ef4e5d71a2bd0398b2cf9cd8205610832364ab9</x:v>
      </x:c>
    </x:row>
    <x:row r="10">
      <x:c r="A10" s="99" t="str">
        <x:v>test</x:v>
      </x:c>
      <x:c r="B10" s="99" t="str">
        <x:v>SETUP-04</x:v>
      </x:c>
      <x:c r="C10" s="99" t="str">
        <x:v>sha256:b6bd467f6a89f821e9373cc530c60d121981c3be1f93118148955e75331daaa4</x:v>
      </x:c>
    </x:row>
    <x:row r="11">
      <x:c r="A11" s="99" t="str">
        <x:v>test</x:v>
      </x:c>
      <x:c r="B11" s="99" t="str">
        <x:v>SETUP-05</x:v>
      </x:c>
      <x:c r="C11" s="99" t="str">
        <x:v>sha256:67ea99e7324822765d73c9e1a978991ba090dd1fcb01bc4f819eb693e2018f1b</x:v>
      </x:c>
    </x:row>
    <x:row r="12">
      <x:c r="A12" s="99" t="str">
        <x:v>test</x:v>
      </x:c>
      <x:c r="B12" s="99" t="str">
        <x:v>SETUP-06</x:v>
      </x:c>
      <x:c r="C12" s="99" t="str">
        <x:v>sha256:50a7bb1d684b76be2ecaf5dd70540adcc5036481c265a2d6e4348a13c0d3f061</x:v>
      </x:c>
    </x:row>
    <x:row r="13">
      <x:c r="A13" s="99" t="str">
        <x:v>test</x:v>
      </x:c>
      <x:c r="B13" s="99" t="str">
        <x:v>SETUP-07</x:v>
      </x:c>
      <x:c r="C13" s="99" t="str">
        <x:v>sha256:4465ab573d202c4fbb497291b08a1c5ffffad91c48872e300991471bef2567f4</x:v>
      </x:c>
    </x:row>
    <x:row r="14">
      <x:c r="A14" s="99" t="str">
        <x:v>test</x:v>
      </x:c>
      <x:c r="B14" s="99" t="str">
        <x:v>CTRL-CONFIG-01</x:v>
      </x:c>
      <x:c r="C14" s="99" t="str">
        <x:v>sha256:bf207e6d54b48768207e423d534c48709f88f234d55bdcb9613e260a68c411f2</x:v>
      </x:c>
    </x:row>
    <x:row r="15">
      <x:c r="A15" s="99" t="str">
        <x:v>test</x:v>
      </x:c>
      <x:c r="B15" s="99" t="str">
        <x:v>BACKUP-SET-01</x:v>
      </x:c>
      <x:c r="C15" s="99" t="str">
        <x:v>sha256:a17b1005496620e34a1ee11e646e9a1fc082c4eb20ac617592011ba5e6ceae8a</x:v>
      </x:c>
    </x:row>
    <x:row r="16">
      <x:c r="A16" s="99" t="str">
        <x:v>test</x:v>
      </x:c>
      <x:c r="B16" s="99" t="str">
        <x:v>C1-CONFIG-01</x:v>
      </x:c>
      <x:c r="C16" s="99" t="str">
        <x:v>sha256:1507d79e9f067c7c5b2099b8101a3d17938d127abce04324c2c3ac3d6b72efd7</x:v>
      </x:c>
    </x:row>
    <x:row r="17">
      <x:c r="A17" s="99" t="str">
        <x:v>test</x:v>
      </x:c>
      <x:c r="B17" s="99" t="str">
        <x:v>C1-REG-01</x:v>
      </x:c>
      <x:c r="C17" s="99" t="str">
        <x:v>sha256:04a561cd1850599049f01a2ec97355afe25fe8c5fc4c4c81d52f639897d63b03</x:v>
      </x:c>
    </x:row>
    <x:row r="18">
      <x:c r="A18" s="99" t="str">
        <x:v>test</x:v>
      </x:c>
      <x:c r="B18" s="99" t="str">
        <x:v>C1-READ-01</x:v>
      </x:c>
      <x:c r="C18" s="99" t="str">
        <x:v>sha256:2c25a1c907b5edcc56c06bd4e4bd1d8dde41fa6faebde85baec2ab4a2acefd87</x:v>
      </x:c>
    </x:row>
    <x:row r="19">
      <x:c r="A19" s="99" t="str">
        <x:v>test</x:v>
      </x:c>
      <x:c r="B19" s="99" t="str">
        <x:v>C1-OPS-01</x:v>
      </x:c>
      <x:c r="C19" s="99" t="str">
        <x:v>sha256:88304c030b7adb56fe9666b1d5541eb373d1615173ce399a06f9538b960dfc1e</x:v>
      </x:c>
    </x:row>
    <x:row r="20">
      <x:c r="A20" s="99" t="str">
        <x:v>test</x:v>
      </x:c>
      <x:c r="B20" s="99" t="str">
        <x:v>C2-CONFIG-01</x:v>
      </x:c>
      <x:c r="C20" s="99" t="str">
        <x:v>sha256:cb99fda58735522dedf306188a4a8f12400a51676d686f840b660c38650789c3</x:v>
      </x:c>
    </x:row>
    <x:row r="21">
      <x:c r="A21" s="99" t="str">
        <x:v>test</x:v>
      </x:c>
      <x:c r="B21" s="99" t="str">
        <x:v>C2-REG-01</x:v>
      </x:c>
      <x:c r="C21" s="99" t="str">
        <x:v>sha256:f4b28c92d9a20605b591f5721dd3ad3beff4e7b5105c8c15a65d23398e8e2d56</x:v>
      </x:c>
    </x:row>
    <x:row r="22">
      <x:c r="A22" s="99" t="str">
        <x:v>test</x:v>
      </x:c>
      <x:c r="B22" s="99" t="str">
        <x:v>C2-READ-01</x:v>
      </x:c>
      <x:c r="C22" s="99" t="str">
        <x:v>sha256:cda561c58eb3b3eeb7b5d8b86836960a48f9ee79058073e4943561aa9c9b39d1</x:v>
      </x:c>
    </x:row>
    <x:row r="23">
      <x:c r="A23" s="99" t="str">
        <x:v>test</x:v>
      </x:c>
      <x:c r="B23" s="99" t="str">
        <x:v>C2-OPS-01</x:v>
      </x:c>
      <x:c r="C23" s="99" t="str">
        <x:v>sha256:d939e6407cadc5480c2f88547845d69f1e2e36a37b7ae6635cebcdde0e9ce030</x:v>
      </x:c>
    </x:row>
    <x:row r="24">
      <x:c r="A24" s="99" t="str">
        <x:v>test</x:v>
      </x:c>
      <x:c r="B24" s="99" t="str">
        <x:v>C3-CONFIG-01</x:v>
      </x:c>
      <x:c r="C24" s="99" t="str">
        <x:v>sha256:633063511fb285503511b318ef26bf092ac48be8afda4df5ef008ab645d4f712</x:v>
      </x:c>
    </x:row>
    <x:row r="25">
      <x:c r="A25" s="99" t="str">
        <x:v>test</x:v>
      </x:c>
      <x:c r="B25" s="99" t="str">
        <x:v>C3-REG-01</x:v>
      </x:c>
      <x:c r="C25" s="99" t="str">
        <x:v>sha256:f692886e78e72d84e31a5ef91aa281938d0529b8b7ea1a220bbf200993144e29</x:v>
      </x:c>
    </x:row>
    <x:row r="26">
      <x:c r="A26" s="99" t="str">
        <x:v>test</x:v>
      </x:c>
      <x:c r="B26" s="99" t="str">
        <x:v>C3-READ-01</x:v>
      </x:c>
      <x:c r="C26" s="99" t="str">
        <x:v>sha256:44b63514e2b1f8af98d36c6a4a25a22b7d554a7055c63b717a390b5801f4f72f</x:v>
      </x:c>
    </x:row>
    <x:row r="27">
      <x:c r="A27" s="99" t="str">
        <x:v>test</x:v>
      </x:c>
      <x:c r="B27" s="99" t="str">
        <x:v>BACKUP-SET-02</x:v>
      </x:c>
      <x:c r="C27" s="99" t="str">
        <x:v>sha256:d8e92939499af335b6f4493b97c7fa8671ad4fc3910cca9a5f8eda4ef41cfc2f</x:v>
      </x:c>
    </x:row>
    <x:row r="28">
      <x:c r="A28" s="99" t="str">
        <x:v>test</x:v>
      </x:c>
      <x:c r="B28" s="99" t="str">
        <x:v>C3-OPS-01</x:v>
      </x:c>
      <x:c r="C28" s="99" t="str">
        <x:v>sha256:c60f649504d508a81fa0bd19f172421676472153728093142a04d2ba4e5c96ad</x:v>
      </x:c>
    </x:row>
    <x:row r="29">
      <x:c r="A29" s="99" t="str">
        <x:v>test</x:v>
      </x:c>
      <x:c r="B29" s="99" t="str">
        <x:v>CTRL-AFON-01</x:v>
      </x:c>
      <x:c r="C29" s="99" t="str">
        <x:v>sha256:2c3055256d014c23ff48c71e8998a544186d8606fc4ad766773ec6c14976f6d7</x:v>
      </x:c>
    </x:row>
    <x:row r="30">
      <x:c r="A30" s="99" t="str">
        <x:v>test</x:v>
      </x:c>
      <x:c r="B30" s="99" t="str">
        <x:v>CTRL-AELOCK-01</x:v>
      </x:c>
      <x:c r="C30" s="99" t="str">
        <x:v>sha256:888daf7bc311ea1a395e8a7406c8caac4655da1853803ba28df50d40a03fda9b</x:v>
      </x:c>
    </x:row>
    <x:row r="31">
      <x:c r="A31" s="99" t="str">
        <x:v>test</x:v>
      </x:c>
      <x:c r="B31" s="99" t="str">
        <x:v>CTRL-DOF-01</x:v>
      </x:c>
      <x:c r="C31" s="99" t="str">
        <x:v>sha256:606ba83c6c6ef93bebe9f6f0451a7c80fead0f83b62fd48fe2137c5a72fa3b19</x:v>
      </x:c>
    </x:row>
    <x:row r="32">
      <x:c r="A32" s="99" t="str">
        <x:v>test</x:v>
      </x:c>
      <x:c r="B32" s="99" t="str">
        <x:v>CTRL-SET-01</x:v>
      </x:c>
      <x:c r="C32" s="99" t="str">
        <x:v>sha256:ad0d38b06de1f9f53cde8acce71775385e4aaef6588e771934320e4124431e25</x:v>
      </x:c>
    </x:row>
    <x:row r="33">
      <x:c r="A33" s="99" t="str">
        <x:v>test</x:v>
      </x:c>
      <x:c r="B33" s="99" t="str">
        <x:v>CTRL-JOY-01</x:v>
      </x:c>
      <x:c r="C33" s="99" t="str">
        <x:v>sha256:957387ec73ac18ab4785a4aaf972f7e285c513c90769f009edece0c97f044600</x:v>
      </x:c>
    </x:row>
    <x:row r="34">
      <x:c r="A34" s="99" t="str">
        <x:v>test</x:v>
      </x:c>
      <x:c r="B34" s="99" t="str">
        <x:v>EFCS-SHOCK-01</x:v>
      </x:c>
      <x:c r="C34" s="99" t="str">
        <x:v>sha256:5536143e9808461e6a2779baa6f8d2adf0dd969cccb0b7d2a28598a924d61203</x:v>
      </x:c>
    </x:row>
    <x:row r="35">
      <x:c r="A35" s="99" t="str">
        <x:v>test</x:v>
      </x:c>
      <x:c r="B35" s="99" t="str">
        <x:v>EFCS-BOKEH-01</x:v>
      </x:c>
      <x:c r="C35" s="99" t="str">
        <x:v>sha256:4e1bd076174191e3341b0eb9a6f2279f745b35cc3425dbd6e1360e771e5f3a42</x:v>
      </x:c>
    </x:row>
    <x:row r="36">
      <x:c r="A36" s="99" t="str">
        <x:v>test</x:v>
      </x:c>
      <x:c r="B36" s="99" t="str">
        <x:v>EFCS-LIGHT-01</x:v>
      </x:c>
      <x:c r="C36" s="99" t="str">
        <x:v>sha256:0294347c51bd94b65f8eec9fad44b39d00e5433c4dc12aeee06c48c0e5ae9c08</x:v>
      </x:c>
    </x:row>
    <x:row r="37">
      <x:c r="A37" s="99" t="str">
        <x:v>test</x:v>
      </x:c>
      <x:c r="B37" s="99" t="str">
        <x:v>EFCS-BURST-01</x:v>
      </x:c>
      <x:c r="C37" s="99" t="str">
        <x:v>sha256:10966e281790e9619773bd99c263d1a8c3f83170403b36c2fbb2a490499e7130</x:v>
      </x:c>
    </x:row>
    <x:row r="38">
      <x:c r="A38" s="99" t="str">
        <x:v>test</x:v>
      </x:c>
      <x:c r="B38" s="99" t="str">
        <x:v>FLASH-PLUTO-01</x:v>
      </x:c>
      <x:c r="C38" s="99" t="str">
        <x:v>sha256:5c00b09991f26e6b8bedd930e7304b53dae8f93819c7135c765aac82e970d87c</x:v>
      </x:c>
    </x:row>
    <x:row r="39">
      <x:c r="A39" s="99" t="str">
        <x:v>test</x:v>
      </x:c>
      <x:c r="B39" s="99" t="str">
        <x:v>FINAL-READ-01</x:v>
      </x:c>
      <x:c r="C39" s="99" t="str">
        <x:v>sha256:688b6db6bd3d38070dfd682da54402cf8678093cb1014766953f9f5da49d7407</x:v>
      </x:c>
    </x:row>
    <x:row r="40">
      <x:c r="A40" s="99" t="str">
        <x:v>test</x:v>
      </x:c>
      <x:c r="B40" s="99" t="str">
        <x:v>FINAL-SAVE-01</x:v>
      </x:c>
      <x:c r="C40" s="99" t="str">
        <x:v>sha256:3d3558eaa54a0fdee859a544db2bccada6d3a8749fda96001422741914b6d0a6</x:v>
      </x:c>
    </x:row>
    <x:row r="41">
      <x:c r="A41" s="99" t="str">
        <x:v>test</x:v>
      </x:c>
      <x:c r="B41" s="99" t="str">
        <x:v>PROJECT-UPDATE-01</x:v>
      </x:c>
      <x:c r="C41" s="99" t="str">
        <x:v>sha256:9312ccf684ccf233900950855d7a3457eb01e52e1c8fcb90e3c7c7daa72e17a6</x:v>
      </x:c>
    </x:row>
    <x:row r="42">
      <x:c r="A42" s="99" t="str">
        <x:v>registration</x:v>
      </x:c>
      <x:c r="B42" s="99" t="str">
        <x:v>Mode</x:v>
      </x:c>
      <x:c r="C42" s="99" t="str">
        <x:v>sha256:16380d447ae550758ff49c344119374224a6b1c009504e23f6f4f93c11c00533</x:v>
      </x:c>
    </x:row>
    <x:row r="43">
      <x:c r="A43" s="99" t="str">
        <x:v>registration</x:v>
      </x:c>
      <x:c r="B43" s="99" t="str">
        <x:v>Metering</x:v>
      </x:c>
      <x:c r="C43" s="99" t="str">
        <x:v>sha256:bc76af3dd5f76e718fe876deafcfbc0fd4a3f64d2a2eb64d2253751bd18f4eae</x:v>
      </x:c>
    </x:row>
    <x:row r="44">
      <x:c r="A44" s="99" t="str">
        <x:v>registration</x:v>
      </x:c>
      <x:c r="B44" s="99" t="str">
        <x:v>Exposure Compensation</x:v>
      </x:c>
      <x:c r="C44" s="99" t="str">
        <x:v>sha256:88e1331bb1792dc8c402253666af51d91b4ff14bdf848d8f5715f7c5735374ee</x:v>
      </x:c>
    </x:row>
    <x:row r="45">
      <x:c r="A45" s="99" t="str">
        <x:v>registration</x:v>
      </x:c>
      <x:c r="B45" s="99" t="str">
        <x:v>Shutter Speed</x:v>
      </x:c>
      <x:c r="C45" s="99" t="str">
        <x:v>sha256:50a59b23cd80339f63a7068a9f9b6618357bcc05eb6f986cc5c7a707e50c0a74</x:v>
      </x:c>
    </x:row>
    <x:row r="46">
      <x:c r="A46" s="99" t="str">
        <x:v>registration</x:v>
      </x:c>
      <x:c r="B46" s="99" t="str">
        <x:v>Aperture</x:v>
      </x:c>
      <x:c r="C46" s="99" t="str">
        <x:v>sha256:74b8c602aefe9109b324a5d3d0f5af54cafeaceae6f80e96effd7b7e7b7512a0</x:v>
      </x:c>
    </x:row>
    <x:row r="47">
      <x:c r="A47" s="99" t="str">
        <x:v>registration</x:v>
      </x:c>
      <x:c r="B47" s="99" t="str">
        <x:v>ISO</x:v>
      </x:c>
      <x:c r="C47" s="99" t="str">
        <x:v>sha256:3c57560fdad255af8dddd4afe759bf3a638ced62cd0b435fbcb39f539ed4d5cd</x:v>
      </x:c>
    </x:row>
    <x:row r="48">
      <x:c r="A48" s="99" t="str">
        <x:v>registration</x:v>
      </x:c>
      <x:c r="B48" s="99" t="str">
        <x:v>Auto ISO Maximum</x:v>
      </x:c>
      <x:c r="C48" s="99" t="str">
        <x:v>sha256:215087f96f2c5d379e4931bbcffe7ea4f1ebe59cc0229f5dae23f52e08edbba5</x:v>
      </x:c>
    </x:row>
    <x:row r="49">
      <x:c r="A49" s="99" t="str">
        <x:v>registration</x:v>
      </x:c>
      <x:c r="B49" s="99" t="str">
        <x:v>AF Operation</x:v>
      </x:c>
      <x:c r="C49" s="99" t="str">
        <x:v>sha256:e52a8877636b9e990324e5e59a10b6b8a0723c7699f752ac41a4e39a25ed8c94</x:v>
      </x:c>
    </x:row>
    <x:row r="50">
      <x:c r="A50" s="99" t="str">
        <x:v>registration</x:v>
      </x:c>
      <x:c r="B50" s="99" t="str">
        <x:v>Servo AF Case</x:v>
      </x:c>
      <x:c r="C50" s="99" t="str">
        <x:v>sha256:c9f1ca7567fd410ce854474a770e020fea6e9904b6872801ebc1b2f20b392fbf</x:v>
      </x:c>
    </x:row>
    <x:row r="51">
      <x:c r="A51" s="99" t="str">
        <x:v>registration</x:v>
      </x:c>
      <x:c r="B51" s="99" t="str">
        <x:v>Tracking Sensitivity</x:v>
      </x:c>
      <x:c r="C51" s="99" t="str">
        <x:v>sha256:dfe83819227cc879db8a3ff1c5b898a2d1c1b0f74d6b3364ad9a92ed7b018424</x:v>
      </x:c>
    </x:row>
    <x:row r="52">
      <x:c r="A52" s="99" t="str">
        <x:v>registration</x:v>
      </x:c>
      <x:c r="B52" s="99" t="str">
        <x:v>Accel./Decel. Tracking</x:v>
      </x:c>
      <x:c r="C52" s="99" t="str">
        <x:v>sha256:e11fda77b702b46abfbda7bbf4de92c162668fd479106b46da999dcd11ba28cf</x:v>
      </x:c>
    </x:row>
    <x:row r="53">
      <x:c r="A53" s="99" t="str">
        <x:v>registration</x:v>
      </x:c>
      <x:c r="B53" s="99" t="str">
        <x:v>Switching Tracked Subjects</x:v>
      </x:c>
      <x:c r="C53" s="99" t="str">
        <x:v>sha256:1866e2e49cd4159a2f76e301df8394efb14ebc00f49606d84fedb5501875eeb7</x:v>
      </x:c>
    </x:row>
    <x:row r="54">
      <x:c r="A54" s="99" t="str">
        <x:v>registration</x:v>
      </x:c>
      <x:c r="B54" s="99" t="str">
        <x:v>AF Method</x:v>
      </x:c>
      <x:c r="C54" s="99" t="str">
        <x:v>sha256:ac30ce5e48a2e9e69db02806afb6a8c836dd8220dce399b57ed50b6ec3569d82</x:v>
      </x:c>
    </x:row>
    <x:row r="55">
      <x:c r="A55" s="99" t="str">
        <x:v>registration</x:v>
      </x:c>
      <x:c r="B55" s="99" t="str">
        <x:v>Subject Detection</x:v>
      </x:c>
      <x:c r="C55" s="99" t="str">
        <x:v>sha256:ca630f9c8761b1ba9bc261fc0264e1fdff6c6ebce7d3d60f68453c6e6c0fb66e</x:v>
      </x:c>
    </x:row>
    <x:row r="56">
      <x:c r="A56" s="99" t="str">
        <x:v>registration</x:v>
      </x:c>
      <x:c r="B56" s="99" t="str">
        <x:v>Eye Detection</x:v>
      </x:c>
      <x:c r="C56" s="99" t="str">
        <x:v>sha256:d4f49e58f189bc2a85058e8030bdba5867549892594d4961911a877fc7774cc1</x:v>
      </x:c>
    </x:row>
    <x:row r="57">
      <x:c r="A57" s="99" t="str">
        <x:v>registration</x:v>
      </x:c>
      <x:c r="B57" s="99" t="str">
        <x:v>Drive Mode</x:v>
      </x:c>
      <x:c r="C57" s="99" t="str">
        <x:v>sha256:a407ab25d86c6b32e4618dffadce1bc9f7375731cceb32a9b15154cb636bbc93</x:v>
      </x:c>
    </x:row>
    <x:row r="58">
      <x:c r="A58" s="99" t="str">
        <x:v>registration</x:v>
      </x:c>
      <x:c r="B58" s="99" t="str">
        <x:v>High Speed Display</x:v>
      </x:c>
      <x:c r="C58" s="99" t="str">
        <x:v>sha256:0af962b70870008b8b495ab863d5b9773e68daa4e052c10a5157bbb6e9b09a04</x:v>
      </x:c>
    </x:row>
    <x:row r="59">
      <x:c r="A59" s="99" t="str">
        <x:v>registration</x:v>
      </x:c>
      <x:c r="B59" s="99" t="str">
        <x:v>Shutter Type</x:v>
      </x:c>
      <x:c r="C59" s="99" t="str">
        <x:v>sha256:e0eb3a601149113b744968c8d35c10e22707716e94c780644837edcabff082bb</x:v>
      </x:c>
    </x:row>
    <x:row r="60">
      <x:c r="A60" s="99" t="str">
        <x:v>registration</x:v>
      </x:c>
      <x:c r="B60" s="99" t="str">
        <x:v>Image Stabilizer Mode</x:v>
      </x:c>
      <x:c r="C60" s="99" t="str">
        <x:v>sha256:cc5907ea77c17b747bda000cb9d24e886022b15d9be9b15be2fd7d3a6aa18fba</x:v>
      </x:c>
    </x:row>
    <x:row r="61">
      <x:c r="A61" s="99" t="str">
        <x:v>registration</x:v>
      </x:c>
      <x:c r="B61" s="99" t="str">
        <x:v>IBIS</x:v>
      </x:c>
      <x:c r="C61" s="99" t="str">
        <x:v>sha256:f88432494f6ce6fd467acf866dcb7285209af0daa97f23211b4c2e9a2fca510a</x:v>
      </x:c>
    </x:row>
    <x:row r="62">
      <x:c r="A62" s="99" t="str">
        <x:v>registration</x:v>
      </x:c>
      <x:c r="B62" s="99" t="str">
        <x:v>Focus Bracketing</x:v>
      </x:c>
      <x:c r="C62" s="99" t="str">
        <x:v>sha256:faa653558ccc3ca42def02cffceb2449676221f3e2b701a95cb76c734a606a66</x:v>
      </x:c>
    </x:row>
    <x:row r="63">
      <x:c r="A63" s="99" t="str">
        <x:v>registration</x:v>
      </x:c>
      <x:c r="B63" s="99" t="str">
        <x:v>Lens IS switch</x:v>
      </x:c>
      <x:c r="C63" s="99" t="str">
        <x:v>sha256:77c1f08d541f8a95c354155213e1184f193765664d2faca4e6245806067b6735</x:v>
      </x:c>
    </x:row>
  </x:sheetData>
  <x:pageMargins left="0.7" right="0.7" top="0.75" bottom="0.75" header="0.3" footer="0.3"/>
</x:worksheet>
</file>