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6316559c814c05" /></Relationships>
</file>

<file path=xl/workbook.xml><?xml version="1.0" encoding="utf-8"?>
<x:workbook xmlns:ns1="http://schemas.openxmlformats.org/officeDocument/2006/relationships" xmlns:x="http://schemas.openxmlformats.org/spreadsheetml/2006/main">
  <x:bookViews>
    <x:workbookView activeTab="0"/>
  </x:bookViews>
  <x:sheets>
    <x:sheet name="Dashboard" sheetId="1" ns1:id="Rf42239416cc64623"/>
    <x:sheet name="Checklist" sheetId="2" ns1:id="Rca956a9c1da54fc0"/>
    <x:sheet name="C1-C3 Registration" sheetId="3" ns1:id="R822032b91d324fac"/>
    <x:sheet name="Sessions" sheetId="4" ns1:id="R30b3a13289ae4a64"/>
    <x:sheet name="Lists" sheetId="5" ns1:id="R6e29e7f967294565"/>
    <x:sheet name="Menu" sheetId="6" ns1:id="R801ae5ee8d96480c"/>
    <x:sheet name="Metadata" sheetId="7" ns1:id="Rb1d06e4697ee43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9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24D"/>
      <x:name val="Carlito"/>
    </x:font>
    <x:font>
      <x:b/>
      <x:sz val="10"/>
      <x:color rgb="FF17324D"/>
      <x:name val="Carlito"/>
    </x:font>
    <x:font>
      <x:sz val="1"/>
      <x:color rgb="FFFFFFFF"/>
      <x:name val="Carlito"/>
    </x:font>
    <x:font>
      <x:b/>
      <x:sz val="20"/>
      <x:color rgb="FFFFFFFF"/>
      <x:name val="Carlito"/>
    </x:font>
    <x:font>
      <x:b/>
      <x:sz val="11"/>
      <x:color rgb="FF70AD47"/>
      <x:name val="Carlito"/>
    </x:font>
    <x:font>
      <x:b/>
      <x:sz val="11"/>
      <x:color rgb="FFFFC000"/>
      <x:name val="Carlito"/>
    </x:font>
    <x:font>
      <x:b/>
      <x:sz val="11"/>
      <x:color rgb="FFC00000"/>
      <x:name val="Carlito"/>
    </x:font>
    <x:font>
      <x:b/>
      <x:sz val="16"/>
      <x:name val="Carlito"/>
    </x:font>
    <x:font>
      <x:b/>
      <x:sz val="16"/>
      <x:color rgb="FF17324D"/>
      <x:name val="Carlito"/>
    </x:font>
    <x:font>
      <x:b/>
      <x:sz val="16"/>
      <x:color rgb="FF70AD47"/>
      <x:name val="Carlito"/>
    </x:font>
    <x:font>
      <x:b/>
      <x:sz val="16"/>
      <x:color rgb="FFFFC000"/>
      <x:name val="Carlito"/>
    </x:font>
    <x:font>
      <x:b/>
      <x:sz val="16"/>
      <x:color rgb="FFC00000"/>
      <x:name val="Carlito"/>
    </x:font>
    <x:font>
      <x:sz val="11"/>
      <x:color rgb="FF17324D"/>
      <x:name val="Carlito"/>
    </x:font>
    <x:font>
      <x:sz val="1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17324D"/>
      </x:patternFill>
    </x:fill>
    <x:fill>
      <x:patternFill patternType="solid">
        <x:fgColor rgb="FFDCE8F2"/>
      </x:patternFill>
    </x:fill>
    <x:fill>
      <x:patternFill patternType="solid">
        <x:fgColor rgb="FFFFF2CC"/>
      </x:patternFill>
    </x:fill>
    <x:fill>
      <x:patternFill patternType="solid">
        <x:fgColor rgb="FFF2F5F7"/>
      </x:patternFill>
    </x:fill>
    <x:fill>
      <x:patternFill patternType="solid">
        <x:fgColor rgb="FFE8F3E2"/>
      </x:patternFill>
    </x:fill>
    <x:fill>
      <x:patternFill patternType="solid">
        <x:fgColor rgb="FFFCE4D6"/>
      </x:patternFill>
    </x:fill>
  </x:fills>
  <x:borders count="12">
    <x:border/>
    <x:border>
      <x:left style="thick">
        <x:color rgb="FF295D82"/>
      </x:left>
      <x:right style="thick">
        <x:color rgb="FF295D82"/>
      </x:right>
      <x:top style="thick">
        <x:color rgb="FF295D82"/>
      </x:top>
      <x:bottom style="thick">
        <x:color rgb="FF295D82"/>
      </x:bottom>
    </x:border>
    <x:border>
      <x:left style="thick">
        <x:color rgb="FF295D82"/>
      </x:left>
      <x:right style="thick">
        <x:color rgb="FF295D82"/>
      </x:right>
    </x:border>
    <x:border>
      <x:left style="thick">
        <x:color rgb="FF295D82"/>
      </x:left>
      <x:right style="thick">
        <x:color rgb="FF295D82"/>
      </x:right>
      <x:bottom style="thick">
        <x:color rgb="FF295D82"/>
      </x:bottom>
    </x:border>
    <x:border>
      <x:left style="thick">
        <x:color rgb="FF295D82"/>
      </x:left>
      <x:top style="thick">
        <x:color rgb="FF295D82"/>
      </x:top>
      <x:bottom style="thick">
        <x:color rgb="FF295D82"/>
      </x:bottom>
    </x:border>
    <x:border>
      <x:top style="thick">
        <x:color rgb="FF295D82"/>
      </x:top>
      <x:bottom style="thick">
        <x:color rgb="FF295D82"/>
      </x:bottom>
    </x:border>
    <x:border>
      <x:right style="thick">
        <x:color rgb="FF295D82"/>
      </x:right>
      <x:top style="thick">
        <x:color rgb="FF295D82"/>
      </x:top>
      <x:bottom style="thick">
        <x:color rgb="FF295D82"/>
      </x:bottom>
    </x:border>
    <x:border>
      <x:left style="thick">
        <x:color rgb="FF295D82"/>
      </x:left>
    </x:border>
    <x:border>
      <x:right style="thick">
        <x:color rgb="FF295D82"/>
      </x:right>
    </x:border>
    <x:border>
      <x:left style="thick">
        <x:color rgb="FF295D82"/>
      </x:left>
      <x:bottom style="thick">
        <x:color rgb="FF295D82"/>
      </x:bottom>
    </x:border>
    <x:border>
      <x:bottom style="thick">
        <x:color rgb="FF295D82"/>
      </x:bottom>
    </x:border>
    <x:border>
      <x:right style="thick">
        <x:color rgb="FF295D82"/>
      </x:right>
      <x:bottom style="thick">
        <x:color rgb="FF295D82"/>
      </x:bottom>
    </x:border>
  </x:borders>
  <x:cellStyleXfs count="1">
    <x:xf numFmtId="0" fontId="0" fillId="0" borderId="0"/>
  </x:cellStyleXfs>
  <x:cellXfs count="10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center" vertical="center" wrapText="0"/>
    </x:xf>
    <x:xf numFmtId="0" fontId="3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horizontal="center" vertical="center" wrapText="0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 applyAlignment="1">
      <x:alignment horizontal="center" wrapText="0"/>
    </x:xf>
    <x:xf numFmtId="0" fontId="3" fillId="0" borderId="0" xfId="0" applyNumberFormat="1" applyFont="1" applyFill="1" applyBorder="1" applyAlignment="1">
      <x:alignment horizontal="left" wrapText="0"/>
    </x:xf>
    <x:xf numFmtId="0" fontId="3" fillId="0" borderId="0" xfId="0" applyNumberFormat="1" applyFont="1" applyFill="1" applyBorder="1" applyAlignment="1">
      <x:alignment horizontal="left" vertical="center" wrapText="0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left" wrapText="1"/>
    </x:xf>
    <x:xf numFmtId="0" fontId="3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horizontal="center" vertical="center" wrapText="0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left"/>
    </x:xf>
    <x:xf numFmtId="0" fontId="4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4" fillId="3" borderId="1" xfId="0" applyNumberFormat="1" applyFont="1" applyFill="1" applyBorder="1" applyAlignment="1">
      <x:alignment horizontal="left"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horizontal="right" vertical="center" wrapText="1"/>
    </x:xf>
    <x:xf numFmtId="0" fontId="0" fillId="0" borderId="3" xfId="0" applyNumberFormat="1" applyFont="1" applyFill="1" applyBorder="1" applyAlignment="1">
      <x:alignment horizontal="right" vertical="center" wrapText="1"/>
    </x:xf>
    <x:xf numFmtId="0" fontId="0" fillId="0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center" vertical="center" wrapText="1"/>
    </x:xf>
    <x:xf numFmtId="0" fontId="4" fillId="3" borderId="4" xfId="0" applyNumberFormat="1" applyFont="1" applyFill="1" applyBorder="1" applyAlignment="1">
      <x:alignment horizontal="left" vertical="center"/>
    </x:xf>
    <x:xf numFmtId="0" fontId="4" fillId="3" borderId="5" xfId="0" applyNumberFormat="1" applyFont="1" applyFill="1" applyBorder="1" applyAlignment="1">
      <x:alignment horizontal="left" vertical="center"/>
    </x:xf>
    <x:xf numFmtId="0" fontId="4" fillId="3" borderId="6" xfId="0" applyNumberFormat="1" applyFont="1" applyFill="1" applyBorder="1" applyAlignment="1">
      <x:alignment horizontal="left" vertical="center"/>
    </x:xf>
    <x:xf numFmtId="0" fontId="5" fillId="4" borderId="7" xfId="0" applyNumberFormat="1" applyFont="1" applyFill="1" applyBorder="1" applyAlignment="1">
      <x:alignment vertical="center" wrapText="1"/>
    </x:xf>
    <x:xf numFmtId="0" fontId="5" fillId="4" borderId="8" xfId="0" applyNumberFormat="1" applyFont="1" applyFill="1" applyBorder="1" applyAlignment="1">
      <x:alignment vertical="center" wrapText="1"/>
    </x:xf>
    <x:xf numFmtId="0" fontId="6" fillId="5" borderId="7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/>
    <x:xf numFmtId="0" fontId="1" fillId="2" borderId="7" xfId="0" applyNumberFormat="1" applyFont="1" applyFill="1" applyBorder="1" applyAlignment="1">
      <x:alignment horizontal="center" vertical="center" wrapText="1"/>
    </x:xf>
    <x:xf numFmtId="0" fontId="1" fillId="2" borderId="8" xfId="0" applyNumberFormat="1" applyFont="1" applyFill="1" applyBorder="1" applyAlignment="1">
      <x:alignment horizontal="center" vertical="center" wrapText="1"/>
    </x:xf>
    <x:xf numFmtId="0" fontId="0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left"/>
    </x:xf>
    <x:xf numFmtId="0" fontId="8" fillId="3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2" fillId="6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9" fillId="7" borderId="0" xfId="0" applyNumberFormat="1" applyFont="1" applyFill="1" applyBorder="1" applyAlignment="1">
      <x:alignment horizontal="center" vertical="center"/>
    </x:xf>
    <x:xf numFmtId="0" fontId="2" fillId="5" borderId="0" xfId="0" applyNumberFormat="1" applyFont="1" applyFill="1" applyBorder="1" applyAlignment="1">
      <x:alignment horizontal="center" vertical="center"/>
    </x:xf>
    <x:xf numFmtId="0" fontId="10" fillId="5" borderId="0" xfId="0" applyNumberFormat="1" applyFont="1" applyFill="1" applyBorder="1" applyAlignment="1">
      <x:alignment horizontal="center" vertical="center"/>
    </x:xf>
    <x:xf numFmtId="0" fontId="2" fillId="8" borderId="0" xfId="0" applyNumberFormat="1" applyFont="1" applyFill="1" applyBorder="1" applyAlignment="1">
      <x:alignment horizontal="center" vertical="center"/>
    </x:xf>
    <x:xf numFmtId="0" fontId="11" fillId="8" borderId="0" xfId="0" applyNumberFormat="1" applyFont="1" applyFill="1" applyBorder="1" applyAlignment="1">
      <x:alignment horizontal="center" vertic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 applyAlignment="1">
      <x:alignment horizontal="center" vertical="center"/>
    </x:xf>
    <x:xf numFmtId="0" fontId="13" fillId="0" borderId="0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 applyAlignment="1">
      <x:alignment horizontal="center" vertical="center"/>
    </x:xf>
    <x:xf numFmtId="0" fontId="15" fillId="0" borderId="0" xfId="0" applyNumberFormat="1" applyFont="1" applyFill="1" applyBorder="1" applyAlignment="1">
      <x:alignment horizontal="center" vertical="center"/>
    </x:xf>
    <x:xf numFmtId="0" fontId="16" fillId="0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/>
    <x:xf numFmtId="0" fontId="0" fillId="6" borderId="0" xfId="0" applyNumberFormat="1" applyFont="1" applyFill="1" applyBorder="1"/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wrapText="1"/>
    </x:xf>
    <x:xf numFmtId="0" fontId="17" fillId="6" borderId="0" xfId="0" applyNumberFormat="1" applyFont="1" applyFill="1" applyBorder="1" applyAlignment="1">
      <x:alignment vertical="top" wrapText="1"/>
    </x:xf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5">
    <x:dxf>
      <x:font>
        <x:b/>
        <x:color rgb="FF295D82"/>
      </x:font>
      <x:fill>
        <x:patternFill patternType="solid">
          <x:bgColor rgb="FFDCE8F2"/>
        </x:patternFill>
      </x:fill>
    </x:dxf>
    <x:dxf>
      <x:font>
        <x:b/>
        <x:color rgb="FF315B20"/>
      </x:font>
      <x:fill>
        <x:patternFill patternType="solid">
          <x:bgColor rgb="FFE8F3E2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b/>
        <x:color rgb="FF70AD47"/>
      </x:font>
      <x:fill>
        <x:patternFill patternType="solid">
          <x:bgColor rgb="FFE8F3E2"/>
        </x:patternFill>
      </x:fill>
    </x:dxf>
    <x:dxf>
      <x:font>
        <x:b/>
        <x:color rgb="FFFFC0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color rgb="FF70AD47"/>
      </x:font>
    </x:dxf>
    <x:dxf>
      <x:font>
        <x:b/>
        <x:color rgb="FF17324D"/>
      </x:font>
      <x:fill>
        <x:patternFill patternType="solid">
          <x:bgColor rgb="FFFFF2CC"/>
        </x:patternFill>
      </x:fill>
    </x:dxf>
    <x:dxf>
      <x:font>
        <x:i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c72b0def0745fe" /><Relationship Type="http://schemas.openxmlformats.org/officeDocument/2006/relationships/theme" Target="/xl/theme/theme1.xml" Id="Rf0b9e3c54c0e4337" /><Relationship Type="http://schemas.openxmlformats.org/officeDocument/2006/relationships/sharedStrings" Target="/xl/sharedStrings.xml" Id="Rd489d31fef834492" /><Relationship Type="http://schemas.openxmlformats.org/officeDocument/2006/relationships/worksheet" Target="/xl/worksheets/sheet1.xml" Id="Rf42239416cc64623" /><Relationship Type="http://schemas.openxmlformats.org/officeDocument/2006/relationships/worksheet" Target="/xl/worksheets/sheet2.xml" Id="Rca956a9c1da54fc0" /><Relationship Type="http://schemas.openxmlformats.org/officeDocument/2006/relationships/worksheet" Target="/xl/worksheets/sheet3.xml" Id="R822032b91d324fac" /><Relationship Type="http://schemas.openxmlformats.org/officeDocument/2006/relationships/worksheet" Target="/xl/worksheets/sheet4.xml" Id="R30b3a13289ae4a64" /><Relationship Type="http://schemas.openxmlformats.org/officeDocument/2006/relationships/worksheet" Target="/xl/worksheets/sheet5.xml" Id="R6e29e7f967294565" /><Relationship Type="http://schemas.openxmlformats.org/officeDocument/2006/relationships/worksheet" Target="/xl/worksheets/sheet6.xml" Id="R801ae5ee8d96480c" /><Relationship Type="http://schemas.openxmlformats.org/officeDocument/2006/relationships/worksheet" Target="/xl/worksheets/sheet7.xml" Id="Rb1d06e4697ee43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5548a0a0f5e42c5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95b3fb75-e462-4be5-bffc-f6f83026826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548a0a0f5e42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2" name="VerificationChecklist" displayName="VerificationChecklist" ref="A5:R42" headerRowCount="1" totalsRowCount="0" totalsRowShown="0">
  <x:autoFilter ref="A5:R42"/>
  <x:tableColumns count="18">
    <x:tableColumn id="1" name="Test ID"/>
    <x:tableColumn id="2" name="Sequence"/>
    <x:tableColumn id="3" name="Phase"/>
    <x:tableColumn id="4" name="Expected Result"/>
    <x:tableColumn id="5" name="Task"/>
    <x:tableColumn id="6" name="Best Access"/>
    <x:tableColumn id="7" name="Menu Location"/>
    <x:tableColumn id="8" name="Menu Detail"/>
    <x:tableColumn id="9" name="Status"/>
    <x:tableColumn id="10" name="Test Date"/>
    <x:tableColumn id="11" name="Session ID"/>
    <x:tableColumn id="12" name="Evidence Files"/>
    <x:tableColumn id="13" name="Observation"/>
    <x:tableColumn id="14" name="Next Action"/>
    <x:tableColumn id="15" name="Evidence Class"/>
    <x:tableColumn id="16" name="Project Update?"/>
    <x:tableColumn id="17" name="Target Project Files"/>
    <x:tableColumn id="18" name="Updated in Projec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RegistrationTable" displayName="RegistrationTable" ref="A4:N22" headerRowCount="1" totalsRowCount="0" totalsRowShown="0">
  <x:autoFilter ref="A4:N22"/>
  <x:tableColumns count="14">
    <x:tableColumn id="1" name="Setting"/>
    <x:tableColumn id="2" name="Default Settings"/>
    <x:tableColumn id="3" name="C1 Wildlife Target"/>
    <x:tableColumn id="4" name="C1 Configured"/>
    <x:tableColumn id="5" name="C1 Read-back"/>
    <x:tableColumn id="6" name="C1 Notes"/>
    <x:tableColumn id="7" name="C2 Birds in Flight Target"/>
    <x:tableColumn id="8" name="C2 Configured"/>
    <x:tableColumn id="9" name="C2 Read-back"/>
    <x:tableColumn id="10" name="C2 Notes"/>
    <x:tableColumn id="11" name="C3 Landscape Target"/>
    <x:tableColumn id="12" name="C3 Configured"/>
    <x:tableColumn id="13" name="C3 Read-back"/>
    <x:tableColumn id="14" name="C3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SessionsTable" displayName="SessionsTable" ref="A4:L24" headerRowCount="1" totalsRowCount="0" totalsRowShown="0">
  <x:autoFilter ref="A4:L24"/>
  <x:tableColumns count="12">
    <x:tableColumn id="1" name="Session ID"/>
    <x:tableColumn id="2" name="Date"/>
    <x:tableColumn id="3" name="Goal"/>
    <x:tableColumn id="4" name="Firmware"/>
    <x:tableColumn id="5" name="Battery / Charge"/>
    <x:tableColumn id="6" name="Lens"/>
    <x:tableColumn id="7" name="Flash / Trigger"/>
    <x:tableColumn id="8" name="Starting Backup"/>
    <x:tableColumn id="9" name="Image Range"/>
    <x:tableColumn id="10" name="Outcome"/>
    <x:tableColumn id="11" name="Next Session"/>
    <x:tableColumn id="12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" name="VerificationMenu" displayName="VerificationMenu" ref="A1:E38" headerRowCount="1" totalsRowCount="0" totalsRowShown="0">
  <x:autoFilter ref="A1:E38"/>
  <x:tableColumns count="5">
    <x:tableColumn id="1" name="Test ID"/>
    <x:tableColumn id="2" name="Best Access"/>
    <x:tableColumn id="3" name="Menu Location"/>
    <x:tableColumn id="4" name="Menu Detail"/>
    <x:tableColumn id="5" name="Sequ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374eecfc9f84421" /><Relationship Type="http://schemas.openxmlformats.org/officeDocument/2006/relationships/table" Target="/xl/tables/table1.xml" Id="Raa392843d73441f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8a2c5e16f8743d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462fbfcaf824ac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be7f96db5da4d4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32" hidden="0" customWidth="1"/>
    <x:col min="8" max="8" width="12" hidden="0" customWidth="1"/>
  </x:cols>
  <x:sheetData>
    <x:row r="1">
      <x:c r="A1" s="73" t="str">
        <x:v>EOS R5 On-Camera Verification Progress</x:v>
      </x:c>
      <x:c r="B1" s="73"/>
      <x:c r="C1" s="73"/>
      <x:c r="D1" s="73"/>
      <x:c r="E1" s="73"/>
      <x:c r="F1" s="73"/>
      <x:c r="G1" s="73"/>
      <x:c r="H1" s="73"/>
    </x:row>
    <x:row r="2">
      <x:c r="A2" s="73"/>
      <x:c r="B2" s="73"/>
      <x:c r="C2" s="73"/>
      <x:c r="D2" s="73"/>
      <x:c r="E2" s="73"/>
      <x:c r="F2" s="73"/>
      <x:c r="G2" s="73"/>
      <x:c r="H2" s="73"/>
    </x:row>
    <x:row r="3">
      <x:c r="A3" s="38" t="str">
        <x:v>Blank master template. Update the Checklist and C1-C3 Registration sheets in a separate working copy. Only Verified, unambiguous results may be promoted to owner-confirmed project status.</x:v>
      </x:c>
      <x:c r="B3" s="38"/>
      <x:c r="C3" s="38"/>
      <x:c r="D3" s="38"/>
      <x:c r="E3" s="38"/>
      <x:c r="F3" s="38"/>
      <x:c r="G3" s="38"/>
      <x:c r="H3" s="38"/>
    </x:row>
    <x:row r="4">
      <x:c r="A4" s="38"/>
      <x:c r="B4" s="38"/>
      <x:c r="C4" s="38"/>
      <x:c r="D4" s="38"/>
      <x:c r="E4" s="38"/>
      <x:c r="F4" s="38"/>
      <x:c r="G4" s="38"/>
      <x:c r="H4" s="38"/>
    </x:row>
    <x:row r="6">
      <x:c r="A6" s="76" t="str">
        <x:v>Total checklist items</x:v>
      </x:c>
      <x:c r="B6" s="76" t="str"/>
      <x:c r="C6" s="78" t="str">
        <x:v>Verified</x:v>
      </x:c>
      <x:c r="D6" s="78" t="str"/>
      <x:c r="E6" s="80" t="str">
        <x:v>In progress / pending</x:v>
      </x:c>
      <x:c r="F6" s="80" t="str"/>
      <x:c r="G6" s="82" t="str">
        <x:v>Needs attention</x:v>
      </x:c>
      <x:c r="H6" s="82" t="str"/>
    </x:row>
    <x:row r="7">
      <x:c r="A7" s="86" t="n">
        <x:f>COUNTA('Checklist'!$A$6:$A$42)</x:f>
        <x:v>37</x:v>
      </x:c>
      <x:c r="B7" s="86"/>
      <x:c r="C7" s="87" t="n">
        <x:f>COUNTIF('Checklist'!$I$6:$I$42,"Verified")</x:f>
        <x:v>0</x:v>
      </x:c>
      <x:c r="D7" s="87"/>
      <x:c r="E7" s="88" t="n">
        <x:f>COUNTIF('Checklist'!$I$6:$I$42,"In progress")+COUNTIF('Checklist'!$I$6:$I$42,"Configured—not registered")+COUNTIF('Checklist'!$I$6:$I$42,"Registered—pending read-back")</x:f>
        <x:v>0</x:v>
      </x:c>
      <x:c r="F7" s="88"/>
      <x:c r="G7" s="89" t="n">
        <x:f>COUNTIF('Checklist'!$I$6:$I$42,"Failed—needs correction")+COUNTIF('Checklist'!$I$6:$I$42,"Inconclusive—needs retest")+COUNTIF('Checklist'!$I$6:$I$42,"Blocked")</x:f>
        <x:v>1</x:v>
      </x:c>
      <x:c r="H7" s="89"/>
    </x:row>
    <x:row r="8">
      <x:c r="A8" s="86"/>
      <x:c r="B8" s="86"/>
      <x:c r="C8" s="87"/>
      <x:c r="D8" s="87"/>
      <x:c r="E8" s="88"/>
      <x:c r="F8" s="88"/>
      <x:c r="G8" s="89"/>
      <x:c r="H8" s="89"/>
    </x:row>
    <x:row r="11">
      <x:c r="A11" s="5" t="str">
        <x:v>Phase</x:v>
      </x:c>
      <x:c r="B11" s="5" t="str">
        <x:v>Total</x:v>
      </x:c>
      <x:c r="C11" s="5" t="str">
        <x:v>Verified</x:v>
      </x:c>
      <x:c r="D11" s="5" t="str">
        <x:v>Attention</x:v>
      </x:c>
      <x:c r="E11" s="5" t="str">
        <x:v>Completion</x:v>
      </x:c>
      <x:c r="F11" t="str"/>
      <x:c r="G11" s="5" t="str">
        <x:v>Status</x:v>
      </x:c>
      <x:c r="H11" s="5" t="str">
        <x:v>Count</x:v>
      </x:c>
    </x:row>
    <x:row r="12">
      <x:c r="A12" t="str">
        <x:v>Camera Setup</x:v>
      </x:c>
      <x:c r="B12" s="91" t="n">
        <x:f>COUNTIF('Checklist'!$C$6:$C$42,A12)</x:f>
        <x:v>11</x:v>
      </x:c>
      <x:c r="C12" s="91" t="n">
        <x:f>COUNTIFS('Checklist'!$C$6:$C$42,A12,'Checklist'!$I$6:$I$42,"Verified")</x:f>
        <x:v>0</x:v>
      </x:c>
      <x:c r="D12" s="91" t="n">
        <x:f>COUNTIFS('Checklist'!$C$6:$C$42,A12,'Checklist'!$I$6:$I$42,"Failed—needs correction")+COUNTIFS('Checklist'!$C$6:$C$42,A12,'Checklist'!$I$6:$I$42,"Inconclusive—needs retest")+COUNTIFS('Checklist'!$C$6:$C$42,A12,'Checklist'!$I$6:$I$42,"Blocked")</x:f>
        <x:v>0</x:v>
      </x:c>
      <x:c r="E12" s="92" t="n">
        <x:f>IF(B12=0,0,(C12+COUNTIFS('Checklist'!$C$6:$C$42,A12,'Checklist'!$I$6:$I$42,"Backup-Settings"))/B12)</x:f>
        <x:v>0</x:v>
      </x:c>
      <x:c r="F12" t="str"/>
      <x:c r="G12" t="str">
        <x:v>Not started</x:v>
      </x:c>
      <x:c r="H12" s="91" t="n">
        <x:f>COUNTIF('Checklist'!$I$6:$I$42,G12)</x:f>
        <x:v>36</x:v>
      </x:c>
    </x:row>
    <x:row r="13">
      <x:c r="A13" t="str">
        <x:v>Controls</x:v>
      </x:c>
      <x:c r="B13" s="91" t="n">
        <x:f>COUNTIF('Checklist'!$C$6:$C$42,A13)</x:f>
        <x:v>6</x:v>
      </x:c>
      <x:c r="C13" s="91" t="n">
        <x:f>COUNTIFS('Checklist'!$C$6:$C$42,A13,'Checklist'!$I$6:$I$42,"Verified")</x:f>
        <x:v>0</x:v>
      </x:c>
      <x:c r="D13" s="91" t="n">
        <x:f>COUNTIFS('Checklist'!$C$6:$C$42,A13,'Checklist'!$I$6:$I$42,"Failed—needs correction")+COUNTIFS('Checklist'!$C$6:$C$42,A13,'Checklist'!$I$6:$I$42,"Inconclusive—needs retest")+COUNTIFS('Checklist'!$C$6:$C$42,A13,'Checklist'!$I$6:$I$42,"Blocked")</x:f>
        <x:v>0</x:v>
      </x:c>
      <x:c r="E13" s="92" t="n">
        <x:f>IF(B13=0,0,(C13+COUNTIFS('Checklist'!$C$6:$C$42,A13,'Checklist'!$I$6:$I$42,"Backup-Settings"))/B13)</x:f>
        <x:v>0</x:v>
      </x:c>
      <x:c r="F13" t="str"/>
      <x:c r="G13" t="str">
        <x:v>In progress</x:v>
      </x:c>
      <x:c r="H13" s="91" t="n">
        <x:f>COUNTIF('Checklist'!$I$6:$I$42,G13)</x:f>
        <x:v>0</x:v>
      </x:c>
    </x:row>
    <x:row r="14">
      <x:c r="A14" t="str">
        <x:v>C1 Wildlife</x:v>
      </x:c>
      <x:c r="B14" s="91" t="n">
        <x:f>COUNTIF('Checklist'!$C$6:$C$42,A14)</x:f>
        <x:v>4</x:v>
      </x:c>
      <x:c r="C14" s="91" t="n">
        <x:f>COUNTIFS('Checklist'!$C$6:$C$42,A14,'Checklist'!$I$6:$I$42,"Verified")</x:f>
        <x:v>0</x:v>
      </x:c>
      <x:c r="D14" s="91" t="n">
        <x:f>COUNTIFS('Checklist'!$C$6:$C$42,A14,'Checklist'!$I$6:$I$42,"Failed—needs correction")+COUNTIFS('Checklist'!$C$6:$C$42,A14,'Checklist'!$I$6:$I$42,"Inconclusive—needs retest")+COUNTIFS('Checklist'!$C$6:$C$42,A14,'Checklist'!$I$6:$I$42,"Blocked")</x:f>
        <x:v>0</x:v>
      </x:c>
      <x:c r="E14" s="92" t="n">
        <x:f>IF(B14=0,0,(C14+COUNTIFS('Checklist'!$C$6:$C$42,A14,'Checklist'!$I$6:$I$42,"Backup-Settings"))/B14)</x:f>
        <x:v>0</x:v>
      </x:c>
      <x:c r="F14" t="str"/>
      <x:c r="G14" t="str">
        <x:v>Configured—not registered</x:v>
      </x:c>
      <x:c r="H14" s="91" t="n">
        <x:f>COUNTIF('Checklist'!$I$6:$I$42,G14)</x:f>
        <x:v>0</x:v>
      </x:c>
    </x:row>
    <x:row r="15">
      <x:c r="A15" t="str">
        <x:v>C2 Birds in Flight</x:v>
      </x:c>
      <x:c r="B15" s="91" t="n">
        <x:f>COUNTIF('Checklist'!$C$6:$C$42,A15)</x:f>
        <x:v>4</x:v>
      </x:c>
      <x:c r="C15" s="91" t="n">
        <x:f>COUNTIFS('Checklist'!$C$6:$C$42,A15,'Checklist'!$I$6:$I$42,"Verified")</x:f>
        <x:v>0</x:v>
      </x:c>
      <x:c r="D15" s="91" t="n">
        <x:f>COUNTIFS('Checklist'!$C$6:$C$42,A15,'Checklist'!$I$6:$I$42,"Failed—needs correction")+COUNTIFS('Checklist'!$C$6:$C$42,A15,'Checklist'!$I$6:$I$42,"Inconclusive—needs retest")+COUNTIFS('Checklist'!$C$6:$C$42,A15,'Checklist'!$I$6:$I$42,"Blocked")</x:f>
        <x:v>0</x:v>
      </x:c>
      <x:c r="E15" s="92" t="n">
        <x:f>IF(B15=0,0,(C15+COUNTIFS('Checklist'!$C$6:$C$42,A15,'Checklist'!$I$6:$I$42,"Backup-Settings"))/B15)</x:f>
        <x:v>0</x:v>
      </x:c>
      <x:c r="F15" t="str"/>
      <x:c r="G15" t="str">
        <x:v>Registered—pending read-back</x:v>
      </x:c>
      <x:c r="H15" s="91" t="n">
        <x:f>COUNTIF('Checklist'!$I$6:$I$42,G15)</x:f>
        <x:v>0</x:v>
      </x:c>
    </x:row>
    <x:row r="16">
      <x:c r="A16" t="str">
        <x:v>C3 Landscape</x:v>
      </x:c>
      <x:c r="B16" s="91" t="n">
        <x:f>COUNTIF('Checklist'!$C$6:$C$42,A16)</x:f>
        <x:v>4</x:v>
      </x:c>
      <x:c r="C16" s="91" t="n">
        <x:f>COUNTIFS('Checklist'!$C$6:$C$42,A16,'Checklist'!$I$6:$I$42,"Verified")</x:f>
        <x:v>0</x:v>
      </x:c>
      <x:c r="D16" s="91" t="n">
        <x:f>COUNTIFS('Checklist'!$C$6:$C$42,A16,'Checklist'!$I$6:$I$42,"Failed—needs correction")+COUNTIFS('Checklist'!$C$6:$C$42,A16,'Checklist'!$I$6:$I$42,"Inconclusive—needs retest")+COUNTIFS('Checklist'!$C$6:$C$42,A16,'Checklist'!$I$6:$I$42,"Blocked")</x:f>
        <x:v>0</x:v>
      </x:c>
      <x:c r="E16" s="92" t="n">
        <x:f>IF(B16=0,0,(C16+COUNTIFS('Checklist'!$C$6:$C$42,A16,'Checklist'!$I$6:$I$42,"Backup-Settings"))/B16)</x:f>
        <x:v>0</x:v>
      </x:c>
      <x:c r="F16" t="str"/>
      <x:c r="G16" t="str">
        <x:v>Backup-Settings</x:v>
      </x:c>
      <x:c r="H16" s="91" t="n">
        <x:f>COUNTIF('Checklist'!$I$6:$I$42,G16)</x:f>
        <x:v>0</x:v>
      </x:c>
    </x:row>
    <x:row r="17">
      <x:c r="A17" t="str">
        <x:v>EFCS Tests</x:v>
      </x:c>
      <x:c r="B17" s="91" t="n">
        <x:f>COUNTIF('Checklist'!$C$6:$C$42,A17)</x:f>
        <x:v>5</x:v>
      </x:c>
      <x:c r="C17" s="91" t="n">
        <x:f>COUNTIFS('Checklist'!$C$6:$C$42,A17,'Checklist'!$I$6:$I$42,"Verified")</x:f>
        <x:v>0</x:v>
      </x:c>
      <x:c r="D17" s="91" t="n">
        <x:f>COUNTIFS('Checklist'!$C$6:$C$42,A17,'Checklist'!$I$6:$I$42,"Failed—needs correction")+COUNTIFS('Checklist'!$C$6:$C$42,A17,'Checklist'!$I$6:$I$42,"Inconclusive—needs retest")+COUNTIFS('Checklist'!$C$6:$C$42,A17,'Checklist'!$I$6:$I$42,"Blocked")</x:f>
        <x:v>0</x:v>
      </x:c>
      <x:c r="E17" s="92" t="n">
        <x:f>IF(B17=0,0,(C17+COUNTIFS('Checklist'!$C$6:$C$42,A17,'Checklist'!$I$6:$I$42,"Backup-Settings"))/B17)</x:f>
        <x:v>0</x:v>
      </x:c>
      <x:c r="F17" t="str"/>
      <x:c r="G17" t="str">
        <x:v>Verified</x:v>
      </x:c>
      <x:c r="H17" s="91" t="n">
        <x:f>COUNTIF('Checklist'!$I$6:$I$42,G17)</x:f>
        <x:v>0</x:v>
      </x:c>
    </x:row>
    <x:row r="18">
      <x:c r="A18" t="str">
        <x:v>Finalization</x:v>
      </x:c>
      <x:c r="B18" s="91" t="n">
        <x:f>COUNTIF('Checklist'!$C$6:$C$42,A18)</x:f>
        <x:v>2</x:v>
      </x:c>
      <x:c r="C18" s="91" t="n">
        <x:f>COUNTIFS('Checklist'!$C$6:$C$42,A18,'Checklist'!$I$6:$I$42,"Verified")</x:f>
        <x:v>0</x:v>
      </x:c>
      <x:c r="D18" s="91" t="n">
        <x:f>COUNTIFS('Checklist'!$C$6:$C$42,A18,'Checklist'!$I$6:$I$42,"Failed—needs correction")+COUNTIFS('Checklist'!$C$6:$C$42,A18,'Checklist'!$I$6:$I$42,"Inconclusive—needs retest")+COUNTIFS('Checklist'!$C$6:$C$42,A18,'Checklist'!$I$6:$I$42,"Blocked")</x:f>
        <x:v>0</x:v>
      </x:c>
      <x:c r="E18" s="92" t="n">
        <x:f>IF(B18=0,0,(C18+COUNTIFS('Checklist'!$C$6:$C$42,A18,'Checklist'!$I$6:$I$42,"Backup-Settings"))/B18)</x:f>
        <x:v>0</x:v>
      </x:c>
      <x:c r="F18" t="str"/>
      <x:c r="G18" t="str">
        <x:v>Failed—needs correction</x:v>
      </x:c>
      <x:c r="H18" s="91" t="n">
        <x:f>COUNTIF('Checklist'!$I$6:$I$42,G18)</x:f>
        <x:v>0</x:v>
      </x:c>
    </x:row>
    <x:row r="19">
      <x:c r="A19" t="str">
        <x:v>Project Update</x:v>
      </x:c>
      <x:c r="B19" s="91" t="n">
        <x:f>COUNTIF('Checklist'!$C$6:$C$42,A19)</x:f>
        <x:v>1</x:v>
      </x:c>
      <x:c r="C19" s="91" t="n">
        <x:f>COUNTIFS('Checklist'!$C$6:$C$42,A19,'Checklist'!$I$6:$I$42,"Verified")</x:f>
        <x:v>0</x:v>
      </x:c>
      <x:c r="D19" s="91" t="n">
        <x:f>COUNTIFS('Checklist'!$C$6:$C$42,A19,'Checklist'!$I$6:$I$42,"Failed—needs correction")+COUNTIFS('Checklist'!$C$6:$C$42,A19,'Checklist'!$I$6:$I$42,"Inconclusive—needs retest")+COUNTIFS('Checklist'!$C$6:$C$42,A19,'Checklist'!$I$6:$I$42,"Blocked")</x:f>
        <x:v>1</x:v>
      </x:c>
      <x:c r="E19" s="92" t="n">
        <x:f>IF(B19=0,0,(C19+COUNTIFS('Checklist'!$C$6:$C$42,A19,'Checklist'!$I$6:$I$42,"Backup-Settings"))/B19)</x:f>
        <x:v>0</x:v>
      </x:c>
      <x:c r="F19" t="str"/>
      <x:c r="G19" t="str">
        <x:v>Inconclusive—needs retest</x:v>
      </x:c>
      <x:c r="H19" s="91" t="n">
        <x:f>COUNTIF('Checklist'!$I$6:$I$42,G19)</x:f>
        <x:v>0</x:v>
      </x:c>
    </x:row>
    <x:row r="20">
      <x:c r="A20" t="str"/>
      <x:c r="B20" s="91" t="str"/>
      <x:c r="C20" s="91" t="str"/>
      <x:c r="D20" s="91" t="str"/>
      <x:c r="E20" s="91" t="str"/>
      <x:c r="F20" t="str"/>
      <x:c r="G20" t="str">
        <x:v>Blocked</x:v>
      </x:c>
      <x:c r="H20" s="91" t="n">
        <x:f>COUNTIF('Checklist'!$I$6:$I$42,G20)</x:f>
        <x:v>1</x:v>
      </x:c>
    </x:row>
    <x:row r="21">
      <x:c r="A21" t="str"/>
      <x:c r="B21" s="91" t="str"/>
      <x:c r="C21" s="91" t="str"/>
      <x:c r="D21" s="91" t="str"/>
      <x:c r="E21" s="91" t="str"/>
      <x:c r="F21" t="str"/>
      <x:c r="G21" t="str">
        <x:v>Not applicable</x:v>
      </x:c>
      <x:c r="H21" s="91" t="n">
        <x:f>COUNTIF('Checklist'!$I$6:$I$42,G21)</x:f>
        <x:v>0</x:v>
      </x:c>
    </x:row>
    <x:row r="23">
      <x:c r="A23" s="93" t="str">
        <x:v>Recommended workflow</x:v>
      </x:c>
      <x:c r="B23" s="93"/>
      <x:c r="C23" s="93"/>
      <x:c r="D23" s="93"/>
      <x:c r="E23" s="93"/>
      <x:c r="F23" s="93"/>
      <x:c r="G23" s="93"/>
      <x:c r="H23" s="93"/>
    </x:row>
    <x:row r="24">
      <x:c r="A24" s="97" t="str">
        <x:v>1. Save the starting camera configuration and document C1–C3.
2. Disable Auto update, then configure and verify the SWITCH and AF Case My Menu tabs.
3. Save Backup-Settings checkpoints after shared setup/controls and after C1–C3 read-back.
4. Work through Checklist in Sequence order and use one Session ID per camera session.
5. Filter Project Update? = Yes and Status = Verified before changing project evidence states.</x:v>
      </x:c>
      <x:c r="B24" s="97"/>
      <x:c r="C24" s="97"/>
      <x:c r="D24" s="97"/>
      <x:c r="E24" s="97"/>
      <x:c r="F24" s="97"/>
      <x:c r="G24" s="97"/>
      <x:c r="H24" s="97"/>
    </x:row>
    <x:row r="25">
      <x:c r="A25" s="97"/>
      <x:c r="B25" s="97"/>
      <x:c r="C25" s="97"/>
      <x:c r="D25" s="97"/>
      <x:c r="E25" s="97"/>
      <x:c r="F25" s="97"/>
      <x:c r="G25" s="97"/>
      <x:c r="H25" s="97"/>
    </x:row>
    <x:row r="26">
      <x:c r="A26" s="97"/>
      <x:c r="B26" s="97"/>
      <x:c r="C26" s="97"/>
      <x:c r="D26" s="97"/>
      <x:c r="E26" s="97"/>
      <x:c r="F26" s="97"/>
      <x:c r="G26" s="97"/>
      <x:c r="H26" s="97"/>
    </x:row>
    <x:row r="27">
      <x:c r="A27" s="97"/>
      <x:c r="B27" s="97"/>
      <x:c r="C27" s="97"/>
      <x:c r="D27" s="97"/>
      <x:c r="E27" s="97"/>
      <x:c r="F27" s="97"/>
      <x:c r="G27" s="97"/>
      <x:c r="H27" s="97"/>
    </x:row>
    <x:row r="28">
      <x:c r="A28" s="97"/>
      <x:c r="B28" s="97"/>
      <x:c r="C28" s="97"/>
      <x:c r="D28" s="97"/>
      <x:c r="E28" s="97"/>
      <x:c r="F28" s="97"/>
      <x:c r="G28" s="97"/>
      <x:c r="H28" s="97"/>
    </x:row>
  </x:sheetData>
  <x:mergeCells>
    <x:mergeCell ref="A1:H2"/>
    <x:mergeCell ref="A3:H4"/>
    <x:mergeCell ref="A23:H23"/>
    <x:mergeCell ref="A24:H28"/>
  </x:mergeCells>
  <x:conditionalFormatting sqref="C7:C7">
    <x:cfRule type="cellIs" dxfId="9" priority="1" operator="greaterThanOrEqual">
      <x:formula>0</x:formula>
    </x:cfRule>
  </x:conditionalFormatting>
  <x:conditionalFormatting sqref="E7:E7">
    <x:cfRule type="cellIs" dxfId="10" priority="2" operator="greaterThanOrEqual">
      <x:formula>0</x:formula>
    </x:cfRule>
  </x:conditionalFormatting>
  <x:conditionalFormatting sqref="G7:G7">
    <x:cfRule type="cellIs" dxfId="11" priority="3" operator="greaterThanOrEqual">
      <x:formula>0</x:formula>
    </x:cfRule>
  </x:conditionalFormatting>
  <x:conditionalFormatting sqref="E12:E19">
    <x:cfRule type="cellIs" dxfId="12" priority="4" operator="equal">
      <x:formula>1</x:formula>
    </x:cfRule>
    <x:cfRule type="cellIs" dxfId="13" priority="5" operator="between">
      <x:formula>0.0001</x:formula>
      <x:formula>0.9999</x:formula>
    </x:cfRule>
    <x:cfRule type="cellIs" dxfId="14" priority="6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5" topLeftCell="B6" activePane="bottomRight" state="frozen"/>
      <x:selection pane="bottomRight" activeCell="B6" sqref="B6"/>
    </x:sheetView>
  </x:sheetViews>
  <x:sheetFormatPr defaultRowHeight="15"/>
  <x:cols>
    <x:col min="1" max="1" width="14.779999732971191" hidden="0" customWidth="1"/>
    <x:col min="2" max="2" width="7.440000057220459" hidden="0" customWidth="1"/>
    <x:col min="3" max="3" width="13.220000267028809" hidden="0" customWidth="1"/>
    <x:col min="4" max="4" width="16.329999923706055" hidden="0" customWidth="1"/>
    <x:col min="5" max="5" width="14.779999732971191" hidden="0" customWidth="1"/>
    <x:col min="6" max="6" width="17.780000686645508" hidden="0" customWidth="1"/>
    <x:col min="7" max="7" width="13.890000343322754" hidden="0" customWidth="1"/>
    <x:col min="8" max="8" width="25.780000686645508" hidden="0" customWidth="1"/>
    <x:col min="9" max="9" width="13.5600004196167" hidden="0" customWidth="1"/>
    <x:col min="10" max="10" width="12.4399995803833" hidden="0" customWidth="1"/>
    <x:col min="11" max="11" width="14.220000267028809" hidden="0" customWidth="1"/>
    <x:col min="12" max="12" width="21.329999923706055" hidden="0" customWidth="1"/>
    <x:col min="13" max="13" width="37.33000183105469" hidden="0" customWidth="1"/>
    <x:col min="14" max="14" width="37.33000183105469" hidden="0" customWidth="1"/>
    <x:col min="15" max="15" width="30.219999313354492" hidden="0" customWidth="1"/>
    <x:col min="16" max="16" width="16" hidden="0" customWidth="1"/>
    <x:col min="17" max="17" width="35.560001373291016" hidden="0" customWidth="1"/>
    <x:col min="18" max="18" width="17.780000686645508" hidden="0" customWidth="1"/>
  </x:cols>
  <x:sheetData>
    <x:row r="1" ht="31.5" customHeight="1"/>
    <x:row r="2" ht="30" customHeight="1"/>
    <x:row r="3" ht="33" customHeight="1"/>
    <x:row r="4" ht="9" customHeight="1"/>
    <x:row r="5" hidden="0">
      <x:c r="A5" s="5" t="str">
        <x:v>Test ID</x:v>
      </x:c>
      <x:c r="B5" s="5" t="str">
        <x:v>Sequence</x:v>
      </x:c>
      <x:c r="C5" s="5" t="str">
        <x:v>Phase</x:v>
      </x:c>
      <x:c r="D5" s="5" t="str">
        <x:v>Expected Result</x:v>
      </x:c>
      <x:c r="E5" s="5" t="str">
        <x:v>Task</x:v>
      </x:c>
      <x:c r="F5" s="5" t="str">
        <x:v>Best Access</x:v>
      </x:c>
      <x:c r="G5" s="5" t="str">
        <x:v>Menu Location</x:v>
      </x:c>
      <x:c r="H5" s="5" t="str">
        <x:v>Menu Detail</x:v>
      </x:c>
      <x:c r="I5" s="5" t="str">
        <x:v>Status</x:v>
      </x:c>
      <x:c r="J5" s="5" t="str">
        <x:v>Test Date</x:v>
      </x:c>
      <x:c r="K5" s="5" t="str">
        <x:v>Session ID</x:v>
      </x:c>
      <x:c r="L5" s="5" t="str">
        <x:v>Evidence Files</x:v>
      </x:c>
      <x:c r="M5" s="5" t="str">
        <x:v>Observation</x:v>
      </x:c>
      <x:c r="N5" s="5" t="str">
        <x:v>Next Action</x:v>
      </x:c>
      <x:c r="O5" s="5" t="str">
        <x:v>Evidence Class</x:v>
      </x:c>
      <x:c r="P5" s="5" t="str">
        <x:v>Project Update?</x:v>
      </x:c>
      <x:c r="Q5" s="5" t="str">
        <x:v>Target Project Files</x:v>
      </x:c>
      <x:c r="R5" s="5" t="str">
        <x:v>Updated in Project</x:v>
      </x:c>
    </x:row>
    <x:row r="6" hidden="0">
      <x:c r="A6" s="17" t="str">
        <x:v>SETUP-01</x:v>
      </x:c>
      <x:c r="B6" s="17" t="n">
        <x:v>1</x:v>
      </x:c>
      <x:c r="C6" s="22" t="str">
        <x:v>Camera Setup</x:v>
      </x:c>
      <x:c r="D6" s="15" t="str">
        <x:v>A recoverable pre-test camera-settings file exists and its filename is recorded.</x:v>
      </x:c>
      <x:c r="E6" s="15" t="str">
        <x:v>Save the current complete camera configuration to the card.</x:v>
      </x:c>
      <x:c r="F6" s="13" t="str">
        <x:f>IFERROR(VLOOKUP($A6,'Menu'!$A$2:$E$38,2,FALSE),"")</x:f>
        <x:v>MENU</x:v>
      </x:c>
      <x:c r="G6" s="29" t="str">
        <x:f>IFERROR(VLOOKUP($A6,'Menu'!$A$2:$E$38,3,FALSE),"")</x:f>
        <x:v>Set-up 5</x:v>
      </x:c>
      <x:c r="H6" s="15" t="str">
        <x:f>IFERROR(VLOOKUP($A6,'Menu'!$A$2:$E$38,4,FALSE),"")</x:f>
        <x:v>Save/load cam settings on card &gt; Save to card</x:v>
      </x:c>
      <x:c r="I6" s="13" t="str">
        <x:v>Not started</x:v>
      </x:c>
      <x:c r="J6" s="30" t="str"/>
      <x:c r="K6" s="17" t="str"/>
      <x:c r="L6" s="15" t="str"/>
      <x:c r="M6" s="15" t="str"/>
      <x:c r="N6" s="15" t="str">
        <x:v>Insert card and save the current configuration.</x:v>
      </x:c>
      <x:c r="O6" s="15" t="str">
        <x:v>Approved target pending verification</x:v>
      </x:c>
      <x:c r="P6" s="17" t="str">
        <x:v>No</x:v>
      </x:c>
      <x:c r="Q6" s="15" t="str"/>
      <x:c r="R6" s="17" t="str">
        <x:v>Not applicable</x:v>
      </x:c>
    </x:row>
    <x:row r="7" hidden="0">
      <x:c r="A7" s="17" t="str">
        <x:v>SETUP-02</x:v>
      </x:c>
      <x:c r="B7" s="17" t="n">
        <x:v>2</x:v>
      </x:c>
      <x:c r="C7" s="22" t="str">
        <x:v>Camera Setup</x:v>
      </x:c>
      <x:c r="D7" s="15" t="str">
        <x:v>Existing registrations are documented before any slot is overwritten.</x:v>
      </x:c>
      <x:c r="E7" s="15" t="str">
        <x:v>Record current C1, C2, and C3 contents before changing them.</x:v>
      </x:c>
      <x:c r="F7" s="13" t="str">
        <x:f>IFERROR(VLOOKUP($A7,'Menu'!$A$2:$E$38,2,FALSE),"")</x:f>
        <x:v>M-Fn recall; photograph or record</x:v>
      </x:c>
      <x:c r="G7" s="29" t="str">
        <x:f>IFERROR(VLOOKUP($A7,'Menu'!$A$2:$E$38,3,FALSE),"")</x:f>
        <x:v>No menu</x:v>
      </x:c>
      <x:c r="H7" s="15" t="str">
        <x:f>IFERROR(VLOOKUP($A7,'Menu'!$A$2:$E$38,4,FALSE),"")</x:f>
        <x:v>Recall C1, C2, and C3 and photograph or record their settings</x:v>
      </x:c>
      <x:c r="I7" s="13" t="str">
        <x:v>Not started</x:v>
      </x:c>
      <x:c r="J7" s="30" t="str"/>
      <x:c r="K7" s="17" t="str"/>
      <x:c r="L7" s="15" t="str"/>
      <x:c r="M7" s="15" t="str"/>
      <x:c r="N7" s="15" t="str">
        <x:v>Photograph or write down all three current slots.</x:v>
      </x:c>
      <x:c r="O7" s="15" t="str">
        <x:v>Approved target pending verification</x:v>
      </x:c>
      <x:c r="P7" s="17" t="str">
        <x:v>No</x:v>
      </x:c>
      <x:c r="Q7" s="15" t="str"/>
      <x:c r="R7" s="17" t="str">
        <x:v>Not applicable</x:v>
      </x:c>
    </x:row>
    <x:row r="8" hidden="0">
      <x:c r="A8" s="17" t="str">
        <x:v>SETUP-03</x:v>
      </x:c>
      <x:c r="B8" s="17" t="n">
        <x:v>3</x:v>
      </x:c>
      <x:c r="C8" s="22" t="str">
        <x:v>Camera Setup</x:v>
      </x:c>
      <x:c r="D8" s="15" t="str">
        <x:v>Temporary field changes cannot silently rewrite a registered custom mode.</x:v>
      </x:c>
      <x:c r="E8" s="15" t="str">
        <x:v>Set Custom shooting mode Auto update to Disable.</x:v>
      </x:c>
      <x:c r="F8" s="13" t="str">
        <x:f>IFERROR(VLOOKUP($A8,'Menu'!$A$2:$E$38,2,FALSE),"")</x:f>
        <x:v>MENU</x:v>
      </x:c>
      <x:c r="G8" s="29" t="str">
        <x:f>IFERROR(VLOOKUP($A8,'Menu'!$A$2:$E$38,3,FALSE),"")</x:f>
        <x:v>Set-up 5</x:v>
      </x:c>
      <x:c r="H8" s="15" t="str">
        <x:f>IFERROR(VLOOKUP($A8,'Menu'!$A$2:$E$38,4,FALSE),"")</x:f>
        <x:v>Custom shooting mode (C1-C3) &gt; Auto update set. &gt; Disable</x:v>
      </x:c>
      <x:c r="I8" s="13" t="str">
        <x:v>Not started</x:v>
      </x:c>
      <x:c r="J8" s="30" t="str"/>
      <x:c r="K8" s="17" t="str"/>
      <x:c r="L8" s="15" t="str"/>
      <x:c r="M8" s="15" t="str">
        <x:v>Auto update must remain disabled throughout.</x:v>
      </x:c>
      <x:c r="N8" s="15" t="str">
        <x:v>Open the Custom shooting mode menu and disable Auto update.</x:v>
      </x:c>
      <x:c r="O8" s="15" t="str">
        <x:v>Approved target pending verification</x:v>
      </x:c>
      <x:c r="P8" s="17" t="str">
        <x:v>Yes</x:v>
      </x:c>
      <x:c r="Q8" s="15" t="str">
        <x:v>controls.md; Camera Setup Essentials; project memory</x:v>
      </x:c>
      <x:c r="R8" s="17" t="str">
        <x:v>No</x:v>
      </x:c>
    </x:row>
    <x:row r="9" hidden="0">
      <x:c r="A9" s="17" t="str">
        <x:v>SETUP-MM-01</x:v>
      </x:c>
      <x:c r="B9" s="17" t="n">
        <x:v>4</x:v>
      </x:c>
      <x:c r="C9" s="22" t="str">
        <x:v>Camera Setup</x:v>
      </x:c>
      <x:c r="D9" s="15" t="str">
        <x:v>The approved SWITCH My Menu tab exists with its five shortcuts in the correct order and retains one open position.</x:v>
      </x:c>
      <x:c r="E9" s="15" t="str">
        <x:v>Configure and verify My Menu: SWITCH before profile registration.</x:v>
      </x:c>
      <x:c r="F9" s="13" t="str">
        <x:f>IFERROR(VLOOKUP($A9,'Menu'!$A$2:$E$38,2,FALSE),"")</x:f>
        <x:v>My Menu</x:v>
      </x:c>
      <x:c r="G9" s="29" t="str">
        <x:f>IFERROR(VLOOKUP($A9,'Menu'!$A$2:$E$38,3,FALSE),"")</x:f>
        <x:v>My Menu</x:v>
      </x:c>
      <x:c r="H9" s="15" t="str">
        <x:f>IFERROR(VLOOKUP($A9,'Menu'!$A$2:$E$38,4,FALSE),"")</x:f>
        <x:v>Create tab SWITCH; register Subject to detect, Shutter mode, Focus bracketing, IS (Image Stabilizer) mode, and Cropping/aspect ratio in order; leave position 6 open.</x:v>
      </x:c>
      <x:c r="I9" s="13" t="str">
        <x:v>Not started</x:v>
      </x:c>
      <x:c r="J9" s="30" t="str"/>
      <x:c r="K9" s="17" t="str"/>
      <x:c r="L9" s="15" t="str"/>
      <x:c r="M9" s="15" t="str"/>
      <x:c r="N9" s="15" t="str">
        <x:v>Configure SWITCH before shared defaults, controls, or C1–C3 registration.</x:v>
      </x:c>
      <x:c r="O9" s="15" t="str">
        <x:v>Approved target pending verification</x:v>
      </x:c>
      <x:c r="P9" s="17" t="str">
        <x:v>Yes</x:v>
      </x:c>
      <x:c r="Q9" s="15" t="str">
        <x:v>00 Master/setting_access.yaml; controls.md; Back-Button AF guide; project memory</x:v>
      </x:c>
      <x:c r="R9" s="17" t="str">
        <x:v>No</x:v>
      </x:c>
    </x:row>
    <x:row r="10" hidden="0">
      <x:c r="A10" s="17" t="str">
        <x:v>SETUP-MM-AF-01</x:v>
      </x:c>
      <x:c r="B10" s="17" t="n">
        <x:v>5</x:v>
      </x:c>
      <x:c r="C10" s="22" t="str">
        <x:v>Camera Setup</x:v>
      </x:c>
      <x:c r="D10" s="15" t="str">
        <x:v>The approved AF Case My Menu tab exists with all three shortcuts in the correct order, and Servo AF opens the complete Case selector without changing AF Operation.</x:v>
      </x:c>
      <x:c r="E10" s="15" t="str">
        <x:v>Configure and verify My Menu: AF Case before shared setup or profile registration.</x:v>
      </x:c>
      <x:c r="F10" s="13" t="str">
        <x:f>IFERROR(VLOOKUP($A10,'Menu'!$A$2:$E$38,2,FALSE),"")</x:f>
        <x:v>My Menu</x:v>
      </x:c>
      <x:c r="G10" s="29" t="str">
        <x:f>IFERROR(VLOOKUP($A10,'Menu'!$A$2:$E$38,3,FALSE),"")</x:f>
        <x:v>My Menu</x:v>
      </x:c>
      <x:c r="H10" s="15" t="str">
        <x:f>IFERROR(VLOOKUP($A10,'Menu'!$A$2:$E$38,4,FALSE),"")</x:f>
        <x:v>Create tab AF Case; register Servo AF, Tracking Sensitivity, and Accel./Decel. tracking in order; confirm Servo AF opens the complete Case 1–4 / Case A selector and does not change AF Operation.</x:v>
      </x:c>
      <x:c r="I10" s="13" t="str">
        <x:v>Not started</x:v>
      </x:c>
      <x:c r="J10" s="30" t="str"/>
      <x:c r="K10" s="17" t="str"/>
      <x:c r="L10" s="15" t="str"/>
      <x:c r="M10" s="15" t="str"/>
      <x:c r="N10" s="15" t="str">
        <x:v>Configure AF Case immediately after SWITCH and before shared defaults, controls, or C1–C3 registration.</x:v>
      </x:c>
      <x:c r="O10" s="15" t="str">
        <x:v>Approved target pending verification</x:v>
      </x:c>
      <x:c r="P10" s="17" t="str">
        <x:v>Yes</x:v>
      </x:c>
      <x:c r="Q10" s="15" t="str">
        <x:v>00 Master/setting_access.yaml; controls.md; Back-Button AF guide; project memory</x:v>
      </x:c>
      <x:c r="R10" s="17" t="str">
        <x:v>No</x:v>
      </x:c>
    </x:row>
    <x:row r="11" hidden="0">
      <x:c r="A11" s="17" t="str">
        <x:v>SETUP-04</x:v>
      </x:c>
      <x:c r="B11" s="17" t="n">
        <x:v>6</x:v>
      </x:c>
      <x:c r="C11" s="22" t="str">
        <x:v>Camera Setup</x:v>
      </x:c>
      <x:c r="D11" s="15" t="str">
        <x:v>Shared operational defaults match the complete C1-aligned reference baseline.</x:v>
      </x:c>
      <x:c r="E11" s="15" t="str">
        <x:v>Confirm Fv, shutter and aperture Auto, Auto ISO maximum 12800, Servo AF with Case A (Auto), Face + Tracking, Animals, Eye Detection Enable, High Speed Continuous, EFCS, Mode 1, cRAW, Full-frame, and Evaluative metering.</x:v>
      </x:c>
      <x:c r="F11" s="13" t="str">
        <x:f>IFERROR(VLOOKUP($A11,'Menu'!$A$2:$E$38,2,FALSE),"")</x:f>
        <x:v>Q screen; direct exposure controls; AF Point Selection button; MM-SWITCH for Subject to detect, Shutter mode, and Cropping/aspect ratio; MM-AF Case for Servo AF Case</x:v>
      </x:c>
      <x:c r="G11" s="29" t="str">
        <x:f>IFERROR(VLOOKUP($A11,'Menu'!$A$2:$E$38,3,FALSE),"")</x:f>
        <x:v>Multiple</x:v>
      </x:c>
      <x:c r="H11" s="15" t="str">
        <x:f>IFERROR(VLOOKUP($A11,'Menu'!$A$2:$E$38,4,FALSE),"")</x:f>
        <x:v>Direct/Q: Fv, shutter Auto, aperture Auto, Auto ISO, Servo AF, High Speed Continuous, Evaluative metering; AF1: AF method, Subject to detect, Eye detection; My Menu AF Case &gt; Servo AF or AF3 &gt; Servo AF characteristics: Case A; Shooting 1: Image quality and Cropping/aspect ratio; Shooting 2: ISO speed settings; Shooting 6: Shutter mode; Shooting menu: IS (Image Stabilizer) mode</x:v>
      </x:c>
      <x:c r="I11" s="13" t="str">
        <x:v>Not started</x:v>
      </x:c>
      <x:c r="J11" s="30" t="str"/>
      <x:c r="K11" s="17" t="str"/>
      <x:c r="L11" s="15" t="str"/>
      <x:c r="M11" s="15" t="str"/>
      <x:c r="N11" s="15" t="str">
        <x:v>Check Camera Setup Essentials and Camera Defaults.</x:v>
      </x:c>
      <x:c r="O11" s="15" t="str">
        <x:v>Approved target pending verification</x:v>
      </x:c>
      <x:c r="P11" s="17" t="str">
        <x:v>Yes</x:v>
      </x:c>
      <x:c r="Q11" s="15" t="str">
        <x:v>00 Master/baseline.yaml; Camera Setup Essentials</x:v>
      </x:c>
      <x:c r="R11" s="17" t="str">
        <x:v>No</x:v>
      </x:c>
    </x:row>
    <x:row r="12" hidden="0">
      <x:c r="A12" s="17" t="str">
        <x:v>SETUP-05</x:v>
      </x:c>
      <x:c r="B12" s="17" t="n">
        <x:v>7</x:v>
      </x:c>
      <x:c r="C12" s="22" t="str">
        <x:v>Camera Setup</x:v>
      </x:c>
      <x:c r="D12" s="15" t="str">
        <x:v>Exposure review tools are available in every profile.</x:v>
      </x:c>
      <x:c r="E12" s="15" t="str">
        <x:v>Confirm RGB histogram and highlight alert are enabled.</x:v>
      </x:c>
      <x:c r="F12" s="13" t="str">
        <x:f>IFERROR(VLOOKUP($A12,'Menu'!$A$2:$E$38,2,FALSE),"")</x:f>
        <x:v>MENU</x:v>
      </x:c>
      <x:c r="G12" s="29" t="str">
        <x:f>IFERROR(VLOOKUP($A12,'Menu'!$A$2:$E$38,3,FALSE),"")</x:f>
        <x:v>Multiple</x:v>
      </x:c>
      <x:c r="H12" s="15" t="str">
        <x:f>IFERROR(VLOOKUP($A12,'Menu'!$A$2:$E$38,4,FALSE),"")</x:f>
        <x:v>Shooting 7: Shooting info. disp. &gt; Screen info. settings &gt; Histogram &gt; RGB; Playback 5: Highlight alert &gt; Enable</x:v>
      </x:c>
      <x:c r="I12" s="13" t="str">
        <x:v>Not started</x:v>
      </x:c>
      <x:c r="J12" s="30" t="str"/>
      <x:c r="K12" s="17" t="str"/>
      <x:c r="L12" s="15" t="str"/>
      <x:c r="M12" s="15" t="str"/>
      <x:c r="N12" s="15" t="str">
        <x:v>Check display settings.</x:v>
      </x:c>
      <x:c r="O12" s="15" t="str">
        <x:v>Approved target pending verification</x:v>
      </x:c>
      <x:c r="P12" s="17" t="str">
        <x:v>Yes</x:v>
      </x:c>
      <x:c r="Q12" s="15" t="str">
        <x:v>00 Master/baseline.yaml; Camera Setup Essentials</x:v>
      </x:c>
      <x:c r="R12" s="17" t="str">
        <x:v>No</x:v>
      </x:c>
    </x:row>
    <x:row r="13" hidden="0">
      <x:c r="A13" s="17" t="str">
        <x:v>SETUP-06</x:v>
      </x:c>
      <x:c r="B13" s="17" t="n">
        <x:v>8</x:v>
      </x:c>
      <x:c r="C13" s="22" t="str">
        <x:v>Camera Setup</x:v>
      </x:c>
      <x:c r="D13" s="15" t="str">
        <x:v>Specialty functions do not interfere with the verification session.</x:v>
      </x:c>
      <x:c r="E13" s="15" t="str">
        <x:v>Confirm High ISO NR, Long Exposure NR, Continuous AF, Electronic full-time MF, and IBIS High Resolution Shot are Off.</x:v>
      </x:c>
      <x:c r="F13" s="13" t="str">
        <x:f>IFERROR(VLOOKUP($A13,'Menu'!$A$2:$E$38,2,FALSE),"")</x:f>
        <x:v>MENU</x:v>
      </x:c>
      <x:c r="G13" s="29" t="str">
        <x:f>IFERROR(VLOOKUP($A13,'Menu'!$A$2:$E$38,3,FALSE),"")</x:f>
        <x:v>Multiple</x:v>
      </x:c>
      <x:c r="H13" s="15" t="str">
        <x:f>IFERROR(VLOOKUP($A13,'Menu'!$A$2:$E$38,4,FALSE),"")</x:f>
        <x:v>Shooting 4: Long exp. noise reduction and High ISO speed NR; AF1: Continuous AF; AF menu: Lens electronic MF; Shooting 5: IBIS High resolution shot</x:v>
      </x:c>
      <x:c r="I13" s="13" t="str">
        <x:v>Not started</x:v>
      </x:c>
      <x:c r="J13" s="30" t="str"/>
      <x:c r="K13" s="17" t="str"/>
      <x:c r="L13" s="15" t="str"/>
      <x:c r="M13" s="15" t="str"/>
      <x:c r="N13" s="15" t="str">
        <x:v>Review Set &amp; Forget settings.</x:v>
      </x:c>
      <x:c r="O13" s="15" t="str">
        <x:v>Approved target pending verification</x:v>
      </x:c>
      <x:c r="P13" s="17" t="str">
        <x:v>Yes</x:v>
      </x:c>
      <x:c r="Q13" s="15" t="str">
        <x:v>00 Master/baseline.yaml; Camera Setup Essentials</x:v>
      </x:c>
      <x:c r="R13" s="17" t="str">
        <x:v>No</x:v>
      </x:c>
    </x:row>
    <x:row r="14" hidden="0">
      <x:c r="A14" s="17" t="str">
        <x:v>SETUP-07</x:v>
      </x:c>
      <x:c r="B14" s="17" t="n">
        <x:v>9</x:v>
      </x:c>
      <x:c r="C14" s="22" t="str">
        <x:v>Camera Setup</x:v>
      </x:c>
      <x:c r="D14" s="15" t="str">
        <x:v>Manual-focus aid matches the approved setup.</x:v>
      </x:c>
      <x:c r="E14" s="15" t="str">
        <x:v>Confirm MF Peaking is On, Low, Red.</x:v>
      </x:c>
      <x:c r="F14" s="13" t="str">
        <x:f>IFERROR(VLOOKUP($A14,'Menu'!$A$2:$E$38,2,FALSE),"")</x:f>
        <x:v>MENU</x:v>
      </x:c>
      <x:c r="G14" s="29" t="str">
        <x:f>IFERROR(VLOOKUP($A14,'Menu'!$A$2:$E$38,3,FALSE),"")</x:f>
        <x:v>AF menu</x:v>
      </x:c>
      <x:c r="H14" s="15" t="str">
        <x:f>IFERROR(VLOOKUP($A14,'Menu'!$A$2:$E$38,4,FALSE),"")</x:f>
        <x:v>MF peaking settings &gt; Peaking: On; Level: Low; Color: Red</x:v>
      </x:c>
      <x:c r="I14" s="13" t="str">
        <x:v>Not started</x:v>
      </x:c>
      <x:c r="J14" s="30" t="str"/>
      <x:c r="K14" s="17" t="str"/>
      <x:c r="L14" s="15" t="str"/>
      <x:c r="M14" s="15" t="str"/>
      <x:c r="N14" s="15" t="str">
        <x:v>Review MF Peaking settings.</x:v>
      </x:c>
      <x:c r="O14" s="15" t="str">
        <x:v>Approved target pending verification</x:v>
      </x:c>
      <x:c r="P14" s="17" t="str">
        <x:v>Yes</x:v>
      </x:c>
      <x:c r="Q14" s="15" t="str">
        <x:v>Camera Setup Essentials; R5 Quick Reference</x:v>
      </x:c>
      <x:c r="R14" s="17" t="str">
        <x:v>No</x:v>
      </x:c>
    </x:row>
    <x:row r="15" hidden="0">
      <x:c r="A15" s="17" t="str">
        <x:v>CTRL-CONFIG-01</x:v>
      </x:c>
      <x:c r="B15" s="17" t="n">
        <x:v>10</x:v>
      </x:c>
      <x:c r="C15" s="22" t="str">
        <x:v>Controls</x:v>
      </x:c>
      <x:c r="D15" s="15" t="str">
        <x:v>Every shared physical control matches the approved assignment and INFO details.</x:v>
      </x:c>
      <x:c r="E15" s="15" t="str">
        <x:v>Configure shutter half-press, AF-ON, AE Lock, AF Point Selection, Lens AF, DOF, SET, joystick, dials, Control Ring, and M-Fn.</x:v>
      </x:c>
      <x:c r="F15" s="13" t="str">
        <x:f>IFERROR(VLOOKUP($A15,'Menu'!$A$2:$E$38,2,FALSE),"")</x:f>
        <x:v>Physical controls; MENU</x:v>
      </x:c>
      <x:c r="G15" s="29" t="str">
        <x:f>IFERROR(VLOOKUP($A15,'Menu'!$A$2:$E$38,3,FALSE),"")</x:f>
        <x:v>Custom Functions 3</x:v>
      </x:c>
      <x:c r="H15" s="15" t="str">
        <x:f>IFERROR(VLOOKUP($A15,'Menu'!$A$2:$E$38,4,FALSE),"")</x:f>
        <x:v>Customize buttons and Customize dials; use Customize buttons for shutter half-press, AF-ON, AE Lock, AF Point Selection, lens AF, DOF, SET, joystick, and M-Fn</x:v>
      </x:c>
      <x:c r="I15" s="13" t="str">
        <x:v>Not started</x:v>
      </x:c>
      <x:c r="J15" s="30" t="str"/>
      <x:c r="K15" s="17" t="str"/>
      <x:c r="L15" s="15" t="str"/>
      <x:c r="M15" s="15" t="str"/>
      <x:c r="N15" s="15" t="str">
        <x:v>Configure each control before registering C1.</x:v>
      </x:c>
      <x:c r="O15" s="15" t="str">
        <x:v>Approved target pending verification</x:v>
      </x:c>
      <x:c r="P15" s="17" t="str">
        <x:v>Yes</x:v>
      </x:c>
      <x:c r="Q15" s="15" t="str">
        <x:v>controls.md; data/canon_r5_custom_controls_current.yaml; Back-Button AF guide</x:v>
      </x:c>
      <x:c r="R15" s="17" t="str">
        <x:v>No</x:v>
      </x:c>
    </x:row>
    <x:row r="16" hidden="0">
      <x:c r="A16" s="17" t="str">
        <x:v>BACKUP-SET-01</x:v>
      </x:c>
      <x:c r="B16" s="17" t="n">
        <x:v>11</x:v>
      </x:c>
      <x:c r="C16" s="22" t="str">
        <x:v>Camera Setup</x:v>
      </x:c>
      <x:c r="D16" s="15" t="str">
        <x:v>A recoverable checkpoint exists after shared settings, SWITCH, AF Case, and physical controls are configured.</x:v>
      </x:c>
      <x:c r="E16" s="15" t="str">
        <x:v>Save a checkpoint copy of the complete camera configuration and record it in Sessions.</x:v>
      </x:c>
      <x:c r="F16" s="13" t="str">
        <x:f>IFERROR(VLOOKUP($A16,'Menu'!$A$2:$E$38,2,FALSE),"")</x:f>
        <x:v>MENU</x:v>
      </x:c>
      <x:c r="G16" s="29" t="str">
        <x:f>IFERROR(VLOOKUP($A16,'Menu'!$A$2:$E$38,3,FALSE),"")</x:f>
        <x:v>Set-up 5</x:v>
      </x:c>
      <x:c r="H16" s="15" t="str">
        <x:f>IFERROR(VLOOKUP($A16,'Menu'!$A$2:$E$38,4,FALSE),"")</x:f>
        <x:v>Save/load cam settings on card &gt; Save to card</x:v>
      </x:c>
      <x:c r="I16" s="13" t="str">
        <x:v>Not started</x:v>
      </x:c>
      <x:c r="J16" s="30" t="str"/>
      <x:c r="K16" s="17" t="str"/>
      <x:c r="L16" s="15" t="str"/>
      <x:c r="M16" s="15" t="str"/>
      <x:c r="N16" s="15" t="str">
        <x:v>After saving, set Status to Backup-Settings before configuring C1.</x:v>
      </x:c>
      <x:c r="O16" s="15" t="str">
        <x:v>Approved target pending verification</x:v>
      </x:c>
      <x:c r="P16" s="17" t="str">
        <x:v>No</x:v>
      </x:c>
      <x:c r="Q16" s="15" t="str"/>
      <x:c r="R16" s="17" t="str">
        <x:v>Not applicable</x:v>
      </x:c>
    </x:row>
    <x:row r="17" hidden="0">
      <x:c r="A17" s="17" t="str">
        <x:v>C1-CONFIG-01</x:v>
      </x:c>
      <x:c r="B17" s="17" t="n">
        <x:v>12</x:v>
      </x:c>
      <x:c r="C17" s="22" t="str">
        <x:v>C1 Wildlife</x:v>
      </x:c>
      <x:c r="D17" s="15" t="str">
        <x:v>Every C1 target setting matches the C1–C3 Registration sheet.</x:v>
      </x:c>
      <x:c r="E17" s="15" t="str">
        <x:v>Build the complete C1 Wildlife environment in a normal shooting mode.</x:v>
      </x:c>
      <x:c r="F17" s="13" t="str">
        <x:f>IFERROR(VLOOKUP($A17,'Menu'!$A$2:$E$38,2,FALSE),"")</x:f>
        <x:v>Q, dials, AF controls, MM-SWITCH, MM-AF Case, lens IS switch</x:v>
      </x:c>
      <x:c r="G17" s="29" t="str">
        <x:f>IFERROR(VLOOKUP($A17,'Menu'!$A$2:$E$38,3,FALSE),"")</x:f>
        <x:v>Multiple</x:v>
      </x:c>
      <x:c r="H17" s="15" t="str">
        <x:f>IFERROR(VLOOKUP($A17,'Menu'!$A$2:$E$38,4,FALSE),"")</x:f>
        <x:v>Shooting screen/Quick Control plus Shooting 1, Shooting 2, Shooting 5, Shooting 6, Shooting 7, AF1, My Menu AF Case or AF3 Servo AF characteristics, AF Drive mode, and lens IS switch</x:v>
      </x:c>
      <x:c r="I17" s="13" t="str">
        <x:v>Not started</x:v>
      </x:c>
      <x:c r="J17" s="30" t="str"/>
      <x:c r="K17" s="17" t="str"/>
      <x:c r="L17" s="15" t="str"/>
      <x:c r="M17" s="15" t="str"/>
      <x:c r="N17" s="15" t="str">
        <x:v>Configure from a normal shooting mode, not recalled C1.</x:v>
      </x:c>
      <x:c r="O17" s="15" t="str">
        <x:v>Approved target pending verification</x:v>
      </x:c>
      <x:c r="P17" s="17" t="str">
        <x:v>Yes</x:v>
      </x:c>
      <x:c r="Q17" s="15" t="str">
        <x:v>controls.md; data/canon_r5_custom_controls_current.yaml; Wildlife profile</x:v>
      </x:c>
      <x:c r="R17" s="17" t="str">
        <x:v>No</x:v>
      </x:c>
    </x:row>
    <x:row r="18" hidden="0">
      <x:c r="A18" s="17" t="str">
        <x:v>C1-REG-01</x:v>
      </x:c>
      <x:c r="B18" s="17" t="n">
        <x:v>13</x:v>
      </x:c>
      <x:c r="C18" s="22" t="str">
        <x:v>C1 Wildlife</x:v>
      </x:c>
      <x:c r="D18" s="15" t="str">
        <x:v>C1 registration completes without overwriting C2 or C3.</x:v>
      </x:c>
      <x:c r="E18" s="15" t="str">
        <x:v>Register the validated Wildlife environment to C1.</x:v>
      </x:c>
      <x:c r="F18" s="13" t="str">
        <x:f>IFERROR(VLOOKUP($A18,'Menu'!$A$2:$E$38,2,FALSE),"")</x:f>
        <x:v>MENU</x:v>
      </x:c>
      <x:c r="G18" s="29" t="str">
        <x:f>IFERROR(VLOOKUP($A18,'Menu'!$A$2:$E$38,3,FALSE),"")</x:f>
        <x:v>Set-up 5</x:v>
      </x:c>
      <x:c r="H18" s="15" t="str">
        <x:f>IFERROR(VLOOKUP($A18,'Menu'!$A$2:$E$38,4,FALSE),"")</x:f>
        <x:v>Custom shooting mode (C1-C3) &gt; Register settings &gt; C1</x:v>
      </x:c>
      <x:c r="I18" s="13" t="str">
        <x:v>Not started</x:v>
      </x:c>
      <x:c r="J18" s="30" t="str"/>
      <x:c r="K18" s="17" t="str"/>
      <x:c r="L18" s="15" t="str"/>
      <x:c r="M18" s="15" t="str"/>
      <x:c r="N18" s="15" t="str">
        <x:v>Register only after every C1 setting is checked.</x:v>
      </x:c>
      <x:c r="O18" s="15" t="str">
        <x:v>Approved target pending verification</x:v>
      </x:c>
      <x:c r="P18" s="17" t="str">
        <x:v>Yes</x:v>
      </x:c>
      <x:c r="Q18" s="15" t="str">
        <x:v>controls.md; Back-Button AF guide</x:v>
      </x:c>
      <x:c r="R18" s="17" t="str">
        <x:v>No</x:v>
      </x:c>
    </x:row>
    <x:row r="19" hidden="0">
      <x:c r="A19" s="17" t="str">
        <x:v>C1-READ-01</x:v>
      </x:c>
      <x:c r="B19" s="17" t="n">
        <x:v>14</x:v>
      </x:c>
      <x:c r="C19" s="22" t="str">
        <x:v>C1 Wildlife</x:v>
      </x:c>
      <x:c r="D19" s="15" t="str">
        <x:v>Every recalled value matches the validated C1 column.</x:v>
      </x:c>
      <x:c r="E19" s="15" t="str">
        <x:v>Leave the setup state, recall C1 with M-Fn, and read back every setting.</x:v>
      </x:c>
      <x:c r="F19" s="13" t="str">
        <x:f>IFERROR(VLOOKUP($A19,'Menu'!$A$2:$E$38,2,FALSE),"")</x:f>
        <x:v>M-Fn recall; Q; MM-SWITCH; MM-AF Case; MENU</x:v>
      </x:c>
      <x:c r="G19" s="29" t="str">
        <x:f>IFERROR(VLOOKUP($A19,'Menu'!$A$2:$E$38,3,FALSE),"")</x:f>
        <x:v>No single menu</x:v>
      </x:c>
      <x:c r="H19" s="15" t="str">
        <x:f>IFERROR(VLOOKUP($A19,'Menu'!$A$2:$E$38,4,FALSE),"")</x:f>
        <x:v>Recall C1 with M-Fn; verify the shooting screen, Quick Control screen, My Menu shortcuts, and applicable menu settings</x:v>
      </x:c>
      <x:c r="I19" s="13" t="str">
        <x:v>Not started</x:v>
      </x:c>
      <x:c r="J19" s="30" t="str"/>
      <x:c r="K19" s="17" t="str"/>
      <x:c r="L19" s="15" t="str"/>
      <x:c r="M19" s="15" t="str"/>
      <x:c r="N19" s="15" t="str">
        <x:v>Record discrepancies before proceeding to C2.</x:v>
      </x:c>
      <x:c r="O19" s="15" t="str">
        <x:v>Approved target pending verification</x:v>
      </x:c>
      <x:c r="P19" s="17" t="str">
        <x:v>Yes</x:v>
      </x:c>
      <x:c r="Q19" s="15" t="str">
        <x:v>controls.md; project memory</x:v>
      </x:c>
      <x:c r="R19" s="17" t="str">
        <x:v>No</x:v>
      </x:c>
    </x:row>
    <x:row r="20" hidden="0">
      <x:c r="A20" s="17" t="str">
        <x:v>C1-OPS-01</x:v>
      </x:c>
      <x:c r="B20" s="17" t="n">
        <x:v>15</x:v>
      </x:c>
      <x:c r="C20" s="22" t="str">
        <x:v>C1 Wildlife</x:v>
      </x:c>
      <x:c r="D20" s="15" t="str">
        <x:v>C1 recalls a usable Wildlife environment and controls behave as intended.</x:v>
      </x:c>
      <x:c r="E20" s="15" t="str">
        <x:v>Perform a short Wildlife operational test.</x:v>
      </x:c>
      <x:c r="F20" s="13" t="str">
        <x:f>IFERROR(VLOOKUP($A20,'Menu'!$A$2:$E$38,2,FALSE),"")</x:f>
        <x:v>Physical controls</x:v>
      </x:c>
      <x:c r="G20" s="29" t="str">
        <x:f>IFERROR(VLOOKUP($A20,'Menu'!$A$2:$E$38,3,FALSE),"")</x:f>
        <x:v>No menu</x:v>
      </x:c>
      <x:c r="H20" s="15" t="str">
        <x:f>IFERROR(VLOOKUP($A20,'Menu'!$A$2:$E$38,4,FALSE),"")</x:f>
        <x:v>Operational shooting test</x:v>
      </x:c>
      <x:c r="I20" s="13" t="str">
        <x:v>Not started</x:v>
      </x:c>
      <x:c r="J20" s="30" t="str"/>
      <x:c r="K20" s="17" t="str"/>
      <x:c r="L20" s="15" t="str"/>
      <x:c r="M20" s="15" t="str"/>
      <x:c r="N20" s="15" t="str">
        <x:v>Test acquisition, precision AF, exposure, and continuous drive.</x:v>
      </x:c>
      <x:c r="O20" s="15" t="str">
        <x:v>Approved target pending verification</x:v>
      </x:c>
      <x:c r="P20" s="17" t="str">
        <x:v>Yes</x:v>
      </x:c>
      <x:c r="Q20" s="15" t="str">
        <x:v>controls.md; Wildlife profile</x:v>
      </x:c>
      <x:c r="R20" s="17" t="str">
        <x:v>No</x:v>
      </x:c>
    </x:row>
    <x:row r="21" hidden="0">
      <x:c r="A21" s="17" t="str">
        <x:v>C2-CONFIG-01</x:v>
      </x:c>
      <x:c r="B21" s="17" t="n">
        <x:v>16</x:v>
      </x:c>
      <x:c r="C21" s="22" t="str">
        <x:v>C2 Birds in Flight</x:v>
      </x:c>
      <x:c r="D21" s="15" t="str">
        <x:v>Every C2 target setting matches the C1–C3 Registration sheet.</x:v>
      </x:c>
      <x:c r="E21" s="15" t="str">
        <x:v>Return to a normal mode and build the complete C2 Birds in Flight environment.</x:v>
      </x:c>
      <x:c r="F21" s="13" t="str">
        <x:f>IFERROR(VLOOKUP($A21,'Menu'!$A$2:$E$38,2,FALSE),"")</x:f>
        <x:v>Q, dials, AF controls, MM-SWITCH, MM-AF Case, lens IS switch</x:v>
      </x:c>
      <x:c r="G21" s="29" t="str">
        <x:f>IFERROR(VLOOKUP($A21,'Menu'!$A$2:$E$38,3,FALSE),"")</x:f>
        <x:v>Multiple</x:v>
      </x:c>
      <x:c r="H21" s="15" t="str">
        <x:f>IFERROR(VLOOKUP($A21,'Menu'!$A$2:$E$38,4,FALSE),"")</x:f>
        <x:v>Shooting screen/Quick Control plus Shooting 1, Shooting 2, Shooting 5, Shooting 6, Shooting 7, AF1, My Menu AF Case or AF3 Servo AF characteristics, AF Drive mode, and lens IS switch</x:v>
      </x:c>
      <x:c r="I21" s="13" t="str">
        <x:v>Not started</x:v>
      </x:c>
      <x:c r="J21" s="30" t="str"/>
      <x:c r="K21" s="17" t="str"/>
      <x:c r="L21" s="15" t="str"/>
      <x:c r="M21" s="15" t="str"/>
      <x:c r="N21" s="15" t="str">
        <x:v>Do not build C2 while working inside recalled C1.</x:v>
      </x:c>
      <x:c r="O21" s="15" t="str">
        <x:v>Approved target pending verification</x:v>
      </x:c>
      <x:c r="P21" s="17" t="str">
        <x:v>Yes</x:v>
      </x:c>
      <x:c r="Q21" s="15" t="str">
        <x:v>Birds in Flight profile; Back-Button AF guide</x:v>
      </x:c>
      <x:c r="R21" s="17" t="str">
        <x:v>No</x:v>
      </x:c>
    </x:row>
    <x:row r="22" hidden="0">
      <x:c r="A22" s="17" t="str">
        <x:v>C2-REG-01</x:v>
      </x:c>
      <x:c r="B22" s="17" t="n">
        <x:v>17</x:v>
      </x:c>
      <x:c r="C22" s="22" t="str">
        <x:v>C2 Birds in Flight</x:v>
      </x:c>
      <x:c r="D22" s="15" t="str">
        <x:v>C2 registration completes without changing C1.</x:v>
      </x:c>
      <x:c r="E22" s="15" t="str">
        <x:v>Register the validated Birds in Flight environment to C2.</x:v>
      </x:c>
      <x:c r="F22" s="13" t="str">
        <x:f>IFERROR(VLOOKUP($A22,'Menu'!$A$2:$E$38,2,FALSE),"")</x:f>
        <x:v>MENU</x:v>
      </x:c>
      <x:c r="G22" s="29" t="str">
        <x:f>IFERROR(VLOOKUP($A22,'Menu'!$A$2:$E$38,3,FALSE),"")</x:f>
        <x:v>Set-up 5</x:v>
      </x:c>
      <x:c r="H22" s="15" t="str">
        <x:f>IFERROR(VLOOKUP($A22,'Menu'!$A$2:$E$38,4,FALSE),"")</x:f>
        <x:v>Custom shooting mode (C1-C3) &gt; Register settings &gt; C2</x:v>
      </x:c>
      <x:c r="I22" s="13" t="str">
        <x:v>Not started</x:v>
      </x:c>
      <x:c r="J22" s="30" t="str"/>
      <x:c r="K22" s="17" t="str"/>
      <x:c r="L22" s="15" t="str"/>
      <x:c r="M22" s="15" t="str"/>
      <x:c r="N22" s="15" t="str">
        <x:v>Register only after every C2 setting is checked.</x:v>
      </x:c>
      <x:c r="O22" s="15" t="str">
        <x:v>Approved target pending verification</x:v>
      </x:c>
      <x:c r="P22" s="17" t="str">
        <x:v>Yes</x:v>
      </x:c>
      <x:c r="Q22" s="15" t="str">
        <x:v>controls.md; Back-Button AF guide</x:v>
      </x:c>
      <x:c r="R22" s="17" t="str">
        <x:v>No</x:v>
      </x:c>
    </x:row>
    <x:row r="23" hidden="0">
      <x:c r="A23" s="17" t="str">
        <x:v>C2-READ-01</x:v>
      </x:c>
      <x:c r="B23" s="17" t="n">
        <x:v>18</x:v>
      </x:c>
      <x:c r="C23" s="22" t="str">
        <x:v>C2 Birds in Flight</x:v>
      </x:c>
      <x:c r="D23" s="15" t="str">
        <x:v>Every recalled value matches the validated C2 column.</x:v>
      </x:c>
      <x:c r="E23" s="15" t="str">
        <x:v>Recall C2 and read back every setting.</x:v>
      </x:c>
      <x:c r="F23" s="13" t="str">
        <x:f>IFERROR(VLOOKUP($A23,'Menu'!$A$2:$E$38,2,FALSE),"")</x:f>
        <x:v>M-Fn recall; Q; MM-SWITCH; MM-AF Case; MENU</x:v>
      </x:c>
      <x:c r="G23" s="29" t="str">
        <x:f>IFERROR(VLOOKUP($A23,'Menu'!$A$2:$E$38,3,FALSE),"")</x:f>
        <x:v>No single menu</x:v>
      </x:c>
      <x:c r="H23" s="15" t="str">
        <x:f>IFERROR(VLOOKUP($A23,'Menu'!$A$2:$E$38,4,FALSE),"")</x:f>
        <x:v>Recall C2 with M-Fn; verify the shooting screen, Quick Control screen, My Menu shortcuts, and applicable menu settings</x:v>
      </x:c>
      <x:c r="I23" s="13" t="str">
        <x:v>Not started</x:v>
      </x:c>
      <x:c r="J23" s="30" t="str"/>
      <x:c r="K23" s="17" t="str"/>
      <x:c r="L23" s="15" t="str"/>
      <x:c r="M23" s="15" t="str"/>
      <x:c r="N23" s="15" t="str">
        <x:v>Recheck C1 after the C2 read-back.</x:v>
      </x:c>
      <x:c r="O23" s="15" t="str">
        <x:v>Approved target pending verification</x:v>
      </x:c>
      <x:c r="P23" s="17" t="str">
        <x:v>Yes</x:v>
      </x:c>
      <x:c r="Q23" s="15" t="str">
        <x:v>controls.md; project memory</x:v>
      </x:c>
      <x:c r="R23" s="17" t="str">
        <x:v>No</x:v>
      </x:c>
    </x:row>
    <x:row r="24" hidden="0">
      <x:c r="A24" s="17" t="str">
        <x:v>C2-OPS-01</x:v>
      </x:c>
      <x:c r="B24" s="17" t="n">
        <x:v>19</x:v>
      </x:c>
      <x:c r="C24" s="22" t="str">
        <x:v>C2 Birds in Flight</x:v>
      </x:c>
      <x:c r="D24" s="15" t="str">
        <x:v>C2 provides 1/2500 sec., Mechanical shutter, H+, Servo AF Case 4, animal tracking, and Mode 3.</x:v>
      </x:c>
      <x:c r="E24" s="15" t="str">
        <x:v>Perform a short Birds in Flight operational test.</x:v>
      </x:c>
      <x:c r="F24" s="13" t="str">
        <x:f>IFERROR(VLOOKUP($A24,'Menu'!$A$2:$E$38,2,FALSE),"")</x:f>
        <x:v>Physical controls</x:v>
      </x:c>
      <x:c r="G24" s="29" t="str">
        <x:f>IFERROR(VLOOKUP($A24,'Menu'!$A$2:$E$38,3,FALSE),"")</x:f>
        <x:v>No menu</x:v>
      </x:c>
      <x:c r="H24" s="15" t="str">
        <x:f>IFERROR(VLOOKUP($A24,'Menu'!$A$2:$E$38,4,FALSE),"")</x:f>
        <x:v>Operational shooting test</x:v>
      </x:c>
      <x:c r="I24" s="13" t="str">
        <x:v>Not started</x:v>
      </x:c>
      <x:c r="J24" s="30" t="str"/>
      <x:c r="K24" s="17" t="str"/>
      <x:c r="L24" s="15" t="str"/>
      <x:c r="M24" s="15" t="str"/>
      <x:c r="N24" s="15" t="str">
        <x:v>Test tracking and burst behavior on a moving target.</x:v>
      </x:c>
      <x:c r="O24" s="15" t="str">
        <x:v>Approved target pending verification</x:v>
      </x:c>
      <x:c r="P24" s="17" t="str">
        <x:v>Yes</x:v>
      </x:c>
      <x:c r="Q24" s="15" t="str">
        <x:v>Birds in Flight profile</x:v>
      </x:c>
      <x:c r="R24" s="17" t="str">
        <x:v>No</x:v>
      </x:c>
    </x:row>
    <x:row r="25" hidden="0">
      <x:c r="A25" s="17" t="str">
        <x:v>C3-CONFIG-01</x:v>
      </x:c>
      <x:c r="B25" s="17" t="n">
        <x:v>20</x:v>
      </x:c>
      <x:c r="C25" s="22" t="str">
        <x:v>C3 Landscape</x:v>
      </x:c>
      <x:c r="D25" s="15" t="str">
        <x:v>Every C3 target setting matches the C1–C3 Registration sheet.</x:v>
      </x:c>
      <x:c r="E25" s="15" t="str">
        <x:v>Return to a normal mode and build the complete C3 Landscape environment.</x:v>
      </x:c>
      <x:c r="F25" s="13" t="str">
        <x:f>IFERROR(VLOOKUP($A25,'Menu'!$A$2:$E$38,2,FALSE),"")</x:f>
        <x:v>Q, dials, AF controls, MM-SWITCH, lens IS switch</x:v>
      </x:c>
      <x:c r="G25" s="29" t="str">
        <x:f>IFERROR(VLOOKUP($A25,'Menu'!$A$2:$E$38,3,FALSE),"")</x:f>
        <x:v>Multiple</x:v>
      </x:c>
      <x:c r="H25" s="15" t="str">
        <x:f>IFERROR(VLOOKUP($A25,'Menu'!$A$2:$E$38,4,FALSE),"")</x:f>
        <x:v>Shooting screen/Quick Control plus Shooting 1, Shooting 2, Shooting 5, Shooting 6, Shooting 7, AF1, AF Drive mode, and lens IS switch</x:v>
      </x:c>
      <x:c r="I25" s="13" t="str">
        <x:v>Not started</x:v>
      </x:c>
      <x:c r="J25" s="30" t="str"/>
      <x:c r="K25" s="17" t="str"/>
      <x:c r="L25" s="15" t="str"/>
      <x:c r="M25" s="15" t="str"/>
      <x:c r="N25" s="15" t="str">
        <x:v>Do not build C3 while working inside C1 or C2.</x:v>
      </x:c>
      <x:c r="O25" s="15" t="str">
        <x:v>Approved target pending verification</x:v>
      </x:c>
      <x:c r="P25" s="17" t="str">
        <x:v>Yes</x:v>
      </x:c>
      <x:c r="Q25" s="15" t="str">
        <x:v>Landscape profile; Back-Button AF guide</x:v>
      </x:c>
      <x:c r="R25" s="17" t="str">
        <x:v>No</x:v>
      </x:c>
    </x:row>
    <x:row r="26" hidden="0">
      <x:c r="A26" s="17" t="str">
        <x:v>C3-REG-01</x:v>
      </x:c>
      <x:c r="B26" s="17" t="n">
        <x:v>21</x:v>
      </x:c>
      <x:c r="C26" s="22" t="str">
        <x:v>C3 Landscape</x:v>
      </x:c>
      <x:c r="D26" s="15" t="str">
        <x:v>C3 registration completes without changing C1 or C2.</x:v>
      </x:c>
      <x:c r="E26" s="15" t="str">
        <x:v>Register the validated Landscape environment to C3.</x:v>
      </x:c>
      <x:c r="F26" s="13" t="str">
        <x:f>IFERROR(VLOOKUP($A26,'Menu'!$A$2:$E$38,2,FALSE),"")</x:f>
        <x:v>MENU</x:v>
      </x:c>
      <x:c r="G26" s="29" t="str">
        <x:f>IFERROR(VLOOKUP($A26,'Menu'!$A$2:$E$38,3,FALSE),"")</x:f>
        <x:v>Set-up 5</x:v>
      </x:c>
      <x:c r="H26" s="15" t="str">
        <x:f>IFERROR(VLOOKUP($A26,'Menu'!$A$2:$E$38,4,FALSE),"")</x:f>
        <x:v>Custom shooting mode (C1-C3) &gt; Register settings &gt; C3</x:v>
      </x:c>
      <x:c r="I26" s="13" t="str">
        <x:v>Not started</x:v>
      </x:c>
      <x:c r="J26" s="30" t="str"/>
      <x:c r="K26" s="17" t="str"/>
      <x:c r="L26" s="15" t="str"/>
      <x:c r="M26" s="15" t="str"/>
      <x:c r="N26" s="15" t="str">
        <x:v>Register only after every C3 setting is checked.</x:v>
      </x:c>
      <x:c r="O26" s="15" t="str">
        <x:v>Approved target pending verification</x:v>
      </x:c>
      <x:c r="P26" s="17" t="str">
        <x:v>Yes</x:v>
      </x:c>
      <x:c r="Q26" s="15" t="str">
        <x:v>controls.md; Back-Button AF guide</x:v>
      </x:c>
      <x:c r="R26" s="17" t="str">
        <x:v>No</x:v>
      </x:c>
    </x:row>
    <x:row r="27" hidden="0">
      <x:c r="A27" s="17" t="str">
        <x:v>C3-READ-01</x:v>
      </x:c>
      <x:c r="B27" s="17" t="n">
        <x:v>22</x:v>
      </x:c>
      <x:c r="C27" s="22" t="str">
        <x:v>C3 Landscape</x:v>
      </x:c>
      <x:c r="D27" s="15" t="str">
        <x:v>Every recalled value matches the validated C3 column.</x:v>
      </x:c>
      <x:c r="E27" s="15" t="str">
        <x:v>Recall C3 and read back every setting.</x:v>
      </x:c>
      <x:c r="F27" s="13" t="str">
        <x:f>IFERROR(VLOOKUP($A27,'Menu'!$A$2:$E$38,2,FALSE),"")</x:f>
        <x:v>M-Fn recall; Q; MM-SWITCH; MENU</x:v>
      </x:c>
      <x:c r="G27" s="29" t="str">
        <x:f>IFERROR(VLOOKUP($A27,'Menu'!$A$2:$E$38,3,FALSE),"")</x:f>
        <x:v>No single menu</x:v>
      </x:c>
      <x:c r="H27" s="15" t="str">
        <x:f>IFERROR(VLOOKUP($A27,'Menu'!$A$2:$E$38,4,FALSE),"")</x:f>
        <x:v>Recall C3 with M-Fn; verify the shooting screen, Quick Control screen, My Menu shortcuts, and applicable menu settings</x:v>
      </x:c>
      <x:c r="I27" s="13" t="str">
        <x:v>Not started</x:v>
      </x:c>
      <x:c r="J27" s="30" t="str"/>
      <x:c r="K27" s="17" t="str"/>
      <x:c r="L27" s="15" t="str"/>
      <x:c r="M27" s="15" t="str"/>
      <x:c r="N27" s="15" t="str">
        <x:v>Recall C1, C2, and C3 in sequence afterward.</x:v>
      </x:c>
      <x:c r="O27" s="15" t="str">
        <x:v>Approved target pending verification</x:v>
      </x:c>
      <x:c r="P27" s="17" t="str">
        <x:v>Yes</x:v>
      </x:c>
      <x:c r="Q27" s="15" t="str">
        <x:v>controls.md; project memory</x:v>
      </x:c>
      <x:c r="R27" s="17" t="str">
        <x:v>No</x:v>
      </x:c>
    </x:row>
    <x:row r="28" hidden="0">
      <x:c r="A28" s="17" t="str">
        <x:v>BACKUP-SET-02</x:v>
      </x:c>
      <x:c r="B28" s="17" t="n">
        <x:v>23</x:v>
      </x:c>
      <x:c r="C28" s="22" t="str">
        <x:v>Camera Setup</x:v>
      </x:c>
      <x:c r="D28" s="15" t="str">
        <x:v>A recoverable checkpoint exists after C1, C2, and C3 are registered and read back.</x:v>
      </x:c>
      <x:c r="E28" s="15" t="str">
        <x:v>Save a checkpoint copy of the complete camera configuration and record it in Sessions.</x:v>
      </x:c>
      <x:c r="F28" s="13" t="str">
        <x:f>IFERROR(VLOOKUP($A28,'Menu'!$A$2:$E$38,2,FALSE),"")</x:f>
        <x:v>MENU</x:v>
      </x:c>
      <x:c r="G28" s="29" t="str">
        <x:f>IFERROR(VLOOKUP($A28,'Menu'!$A$2:$E$38,3,FALSE),"")</x:f>
        <x:v>Set-up 5</x:v>
      </x:c>
      <x:c r="H28" s="15" t="str">
        <x:f>IFERROR(VLOOKUP($A28,'Menu'!$A$2:$E$38,4,FALSE),"")</x:f>
        <x:v>Save/load cam settings on card &gt; Save to card</x:v>
      </x:c>
      <x:c r="I28" s="13" t="str">
        <x:v>Not started</x:v>
      </x:c>
      <x:c r="J28" s="30" t="str"/>
      <x:c r="K28" s="17" t="str"/>
      <x:c r="L28" s="15" t="str"/>
      <x:c r="M28" s="15" t="str"/>
      <x:c r="N28" s="15" t="str">
        <x:v>After saving, set Status to Backup-Settings before operational control and shutter testing.</x:v>
      </x:c>
      <x:c r="O28" s="15" t="str">
        <x:v>Approved target pending verification</x:v>
      </x:c>
      <x:c r="P28" s="17" t="str">
        <x:v>No</x:v>
      </x:c>
      <x:c r="Q28" s="15" t="str"/>
      <x:c r="R28" s="17" t="str">
        <x:v>Not applicable</x:v>
      </x:c>
    </x:row>
    <x:row r="29" hidden="0">
      <x:c r="A29" s="17" t="str">
        <x:v>C3-OPS-01</x:v>
      </x:c>
      <x:c r="B29" s="17" t="n">
        <x:v>24</x:v>
      </x:c>
      <x:c r="C29" s="22" t="str">
        <x:v>C3 Landscape</x:v>
      </x:c>
      <x:c r="D29" s="15" t="str">
        <x:v>C3 provides Av, f/9, ISO 100, One-Shot, 1-Point, Single Shot, and EFCS.</x:v>
      </x:c>
      <x:c r="E29" s="15" t="str">
        <x:v>Perform a short Landscape operational test.</x:v>
      </x:c>
      <x:c r="F29" s="13" t="str">
        <x:f>IFERROR(VLOOKUP($A29,'Menu'!$A$2:$E$38,2,FALSE),"")</x:f>
        <x:v>Physical controls</x:v>
      </x:c>
      <x:c r="G29" s="29" t="str">
        <x:f>IFERROR(VLOOKUP($A29,'Menu'!$A$2:$E$38,3,FALSE),"")</x:f>
        <x:v>No menu</x:v>
      </x:c>
      <x:c r="H29" s="15" t="str">
        <x:f>IFERROR(VLOOKUP($A29,'Menu'!$A$2:$E$38,4,FALSE),"")</x:f>
        <x:v>Operational shooting test</x:v>
      </x:c>
      <x:c r="I29" s="13" t="str">
        <x:v>Not started</x:v>
      </x:c>
      <x:c r="J29" s="30" t="str"/>
      <x:c r="K29" s="17" t="str"/>
      <x:c r="L29" s="15" t="str"/>
      <x:c r="M29" s="15" t="str"/>
      <x:c r="N29" s="15" t="str">
        <x:v>Test handheld starting state, then tripod situational changes.</x:v>
      </x:c>
      <x:c r="O29" s="15" t="str">
        <x:v>Approved target pending verification</x:v>
      </x:c>
      <x:c r="P29" s="17" t="str">
        <x:v>Yes</x:v>
      </x:c>
      <x:c r="Q29" s="15" t="str">
        <x:v>Landscape profile</x:v>
      </x:c>
      <x:c r="R29" s="17" t="str">
        <x:v>No</x:v>
      </x:c>
    </x:row>
    <x:row r="30" hidden="0">
      <x:c r="A30" s="17" t="str">
        <x:v>CTRL-AFON-01</x:v>
      </x:c>
      <x:c r="B30" s="17" t="n">
        <x:v>25</x:v>
      </x:c>
      <x:c r="C30" s="22" t="str">
        <x:v>Controls</x:v>
      </x:c>
      <x:c r="D30" s="15" t="str">
        <x:v>AF-ON invokes Face + Tracking while maintaining the current AF Operation and Servo characteristics.</x:v>
      </x:c>
      <x:c r="E30" s="15" t="str">
        <x:v>Verify AF-ON in Servo and One-Shot environments.</x:v>
      </x:c>
      <x:c r="F30" s="13" t="str">
        <x:f>IFERROR(VLOOKUP($A30,'Menu'!$A$2:$E$38,2,FALSE),"")</x:f>
        <x:v>AF-ON; INFO</x:v>
      </x:c>
      <x:c r="G30" s="29" t="str">
        <x:f>IFERROR(VLOOKUP($A30,'Menu'!$A$2:$E$38,3,FALSE),"")</x:f>
        <x:v>Custom Functions 3</x:v>
      </x:c>
      <x:c r="H30" s="15" t="str">
        <x:f>IFERROR(VLOOKUP($A30,'Menu'!$A$2:$E$38,4,FALSE),"")</x:f>
        <x:v>Customize buttons &gt; AF-ON; press INFO to verify AF Operation, AF Method, and Servo AF characteristics</x:v>
      </x:c>
      <x:c r="I30" s="13" t="str">
        <x:v>Not started</x:v>
      </x:c>
      <x:c r="J30" s="30" t="str"/>
      <x:c r="K30" s="17" t="str"/>
      <x:c r="L30" s="15" t="str"/>
      <x:c r="M30" s="15" t="str"/>
      <x:c r="N30" s="15" t="str">
        <x:v>Run in C1/C2 and again in C3.</x:v>
      </x:c>
      <x:c r="O30" s="15" t="str">
        <x:v>Approved target pending verification</x:v>
      </x:c>
      <x:c r="P30" s="17" t="str">
        <x:v>Yes</x:v>
      </x:c>
      <x:c r="Q30" s="15" t="str">
        <x:v>controls.md; data/canon_r5_custom_controls_current.yaml; project memory</x:v>
      </x:c>
      <x:c r="R30" s="17" t="str">
        <x:v>No</x:v>
      </x:c>
    </x:row>
    <x:row r="31" hidden="0">
      <x:c r="A31" s="17" t="str">
        <x:v>CTRL-AELOCK-01</x:v>
      </x:c>
      <x:c r="B31" s="17" t="n">
        <x:v>26</x:v>
      </x:c>
      <x:c r="C31" s="22" t="str">
        <x:v>Controls</x:v>
      </x:c>
      <x:c r="D31" s="15" t="str">
        <x:v>AE Lock invokes 1-Point AF while maintaining the current AF Operation and last point position.</x:v>
      </x:c>
      <x:c r="E31" s="15" t="str">
        <x:v>Verify AE Lock in Servo and One-Shot environments.</x:v>
      </x:c>
      <x:c r="F31" s="13" t="str">
        <x:f>IFERROR(VLOOKUP($A31,'Menu'!$A$2:$E$38,2,FALSE),"")</x:f>
        <x:v>AE Lock; INFO</x:v>
      </x:c>
      <x:c r="G31" s="29" t="str">
        <x:f>IFERROR(VLOOKUP($A31,'Menu'!$A$2:$E$38,3,FALSE),"")</x:f>
        <x:v>Custom Functions 3</x:v>
      </x:c>
      <x:c r="H31" s="15" t="str">
        <x:f>IFERROR(VLOOKUP($A31,'Menu'!$A$2:$E$38,4,FALSE),"")</x:f>
        <x:v>Customize buttons &gt; AE Lock; press INFO to verify AF Operation, AF Method, and Servo AF characteristics</x:v>
      </x:c>
      <x:c r="I31" s="13" t="str">
        <x:v>Not started</x:v>
      </x:c>
      <x:c r="J31" s="30" t="str"/>
      <x:c r="K31" s="17" t="str"/>
      <x:c r="L31" s="15" t="str"/>
      <x:c r="M31" s="15" t="str"/>
      <x:c r="N31" s="15" t="str">
        <x:v>Run in C1/C2 and again in C3.</x:v>
      </x:c>
      <x:c r="O31" s="15" t="str">
        <x:v>Approved target pending verification</x:v>
      </x:c>
      <x:c r="P31" s="17" t="str">
        <x:v>Yes</x:v>
      </x:c>
      <x:c r="Q31" s="15" t="str">
        <x:v>controls.md; data/canon_r5_custom_controls_current.yaml; project memory</x:v>
      </x:c>
      <x:c r="R31" s="17" t="str">
        <x:v>No</x:v>
      </x:c>
    </x:row>
    <x:row r="32" hidden="0">
      <x:c r="A32" s="17" t="str">
        <x:v>CTRL-DOF-01</x:v>
      </x:c>
      <x:c r="B32" s="17" t="n">
        <x:v>27</x:v>
      </x:c>
      <x:c r="C32" s="22" t="str">
        <x:v>Controls</x:v>
      </x:c>
      <x:c r="D32" s="15" t="str">
        <x:v>DOF changes AF Operation and both AF-start buttons respect the changed state.</x:v>
      </x:c>
      <x:c r="E32" s="15" t="str">
        <x:v>Verify the DOF One-Shot ↔ Servo switch.</x:v>
      </x:c>
      <x:c r="F32" s="13" t="str">
        <x:f>IFERROR(VLOOKUP($A32,'Menu'!$A$2:$E$38,2,FALSE),"")</x:f>
        <x:v>DOF button</x:v>
      </x:c>
      <x:c r="G32" s="29" t="str">
        <x:f>IFERROR(VLOOKUP($A32,'Menu'!$A$2:$E$38,3,FALSE),"")</x:f>
        <x:v>Custom Functions 3</x:v>
      </x:c>
      <x:c r="H32" s="15" t="str">
        <x:f>IFERROR(VLOOKUP($A32,'Menu'!$A$2:$E$38,4,FALSE),"")</x:f>
        <x:v>Customize buttons &gt; Depth-of-field preview &gt; One-Shot AF ↔ Servo AF</x:v>
      </x:c>
      <x:c r="I32" s="13" t="str">
        <x:v>Not started</x:v>
      </x:c>
      <x:c r="J32" s="30" t="str"/>
      <x:c r="K32" s="17" t="str"/>
      <x:c r="L32" s="15" t="str"/>
      <x:c r="M32" s="15" t="str"/>
      <x:c r="N32" s="15" t="str">
        <x:v>Test both directions from C1/C2 and C3.</x:v>
      </x:c>
      <x:c r="O32" s="15" t="str">
        <x:v>Approved target pending verification</x:v>
      </x:c>
      <x:c r="P32" s="17" t="str">
        <x:v>Yes</x:v>
      </x:c>
      <x:c r="Q32" s="15" t="str">
        <x:v>controls.md; project memory</x:v>
      </x:c>
      <x:c r="R32" s="17" t="str">
        <x:v>No</x:v>
      </x:c>
    </x:row>
    <x:row r="33" hidden="0">
      <x:c r="A33" s="17" t="str">
        <x:v>CTRL-SET-01</x:v>
      </x:c>
      <x:c r="B33" s="17" t="n">
        <x:v>28</x:v>
      </x:c>
      <x:c r="C33" s="22" t="str">
        <x:v>Controls</x:v>
      </x:c>
      <x:c r="D33" s="15" t="str">
        <x:v>SET toggles Eye Detection with Face + Tracking and does not imply active eye detection with deliberate-point AF.</x:v>
      </x:c>
      <x:c r="E33" s="15" t="str">
        <x:v>Verify SET Eye Detection behavior.</x:v>
      </x:c>
      <x:c r="F33" s="13" t="str">
        <x:f>IFERROR(VLOOKUP($A33,'Menu'!$A$2:$E$38,2,FALSE),"")</x:f>
        <x:v>SET button</x:v>
      </x:c>
      <x:c r="G33" s="29" t="str">
        <x:f>IFERROR(VLOOKUP($A33,'Menu'!$A$2:$E$38,3,FALSE),"")</x:f>
        <x:v>Custom Functions 3</x:v>
      </x:c>
      <x:c r="H33" s="15" t="str">
        <x:f>IFERROR(VLOOKUP($A33,'Menu'!$A$2:$E$38,4,FALSE),"")</x:f>
        <x:v>Customize buttons &gt; SET &gt; Eye detection</x:v>
      </x:c>
      <x:c r="I33" s="13" t="str">
        <x:v>Not started</x:v>
      </x:c>
      <x:c r="J33" s="30" t="str"/>
      <x:c r="K33" s="17" t="str"/>
      <x:c r="L33" s="15" t="str"/>
      <x:c r="M33" s="15" t="str"/>
      <x:c r="N33" s="15" t="str">
        <x:v>Test Face + Tracking, 1-Point AF, and Spot AF.</x:v>
      </x:c>
      <x:c r="O33" s="15" t="str">
        <x:v>Approved target pending verification</x:v>
      </x:c>
      <x:c r="P33" s="17" t="str">
        <x:v>Yes</x:v>
      </x:c>
      <x:c r="Q33" s="15" t="str">
        <x:v>controls.md; data/canon_r5_custom_controls_current.yaml; project memory</x:v>
      </x:c>
      <x:c r="R33" s="17" t="str">
        <x:v>No</x:v>
      </x:c>
    </x:row>
    <x:row r="34" hidden="0">
      <x:c r="A34" s="17" t="str">
        <x:v>CTRL-JOY-01</x:v>
      </x:c>
      <x:c r="B34" s="17" t="n">
        <x:v>29</x:v>
      </x:c>
      <x:c r="C34" s="22" t="str">
        <x:v>Controls</x:v>
      </x:c>
      <x:c r="D34" s="15" t="str">
        <x:v>Movement selects the intended point or subject; observed recenter and Face Select behavior are recorded.</x:v>
      </x:c>
      <x:c r="E34" s="15" t="str">
        <x:v>Verify joystick movement and straight-press behavior.</x:v>
      </x:c>
      <x:c r="F34" s="13" t="str">
        <x:f>IFERROR(VLOOKUP($A34,'Menu'!$A$2:$E$38,2,FALSE),"")</x:f>
        <x:v>Joystick</x:v>
      </x:c>
      <x:c r="G34" s="29" t="str">
        <x:f>IFERROR(VLOOKUP($A34,'Menu'!$A$2:$E$38,3,FALSE),"")</x:f>
        <x:v>Custom Functions 3</x:v>
      </x:c>
      <x:c r="H34" s="15" t="str">
        <x:f>IFERROR(VLOOKUP($A34,'Menu'!$A$2:$E$38,4,FALSE),"")</x:f>
        <x:v>Customize buttons &gt; Multi-controller &gt; Direct AF point selection</x:v>
      </x:c>
      <x:c r="I34" s="13" t="str">
        <x:v>Not started</x:v>
      </x:c>
      <x:c r="J34" s="30" t="str"/>
      <x:c r="K34" s="17" t="str"/>
      <x:c r="L34" s="15" t="str"/>
      <x:c r="M34" s="15" t="str"/>
      <x:c r="N34" s="15" t="str">
        <x:v>Record single-border, double-border, release, and Face Select Off behavior.</x:v>
      </x:c>
      <x:c r="O34" s="15" t="str">
        <x:v>Approved target pending verification</x:v>
      </x:c>
      <x:c r="P34" s="17" t="str">
        <x:v>Yes</x:v>
      </x:c>
      <x:c r="Q34" s="15" t="str">
        <x:v>controls.md; project memory; Back-Button AF guide</x:v>
      </x:c>
      <x:c r="R34" s="17" t="str">
        <x:v>No</x:v>
      </x:c>
    </x:row>
    <x:row r="35" hidden="0">
      <x:c r="A35" s="17" t="str">
        <x:v>EFCS-SHOCK-01</x:v>
      </x:c>
      <x:c r="B35" s="17" t="n">
        <x:v>30</x:v>
      </x:c>
      <x:c r="C35" s="22" t="str">
        <x:v>EFCS Tests</x:v>
      </x:c>
      <x:c r="D35" s="15" t="str">
        <x:v>At least five matched frames per shutter speed and mode are available for comparison.</x:v>
      </x:c>
      <x:c r="E35" s="15" t="str">
        <x:v>Compare EFCS and Mechanical tripod sharpness at 1/8–1/60 sec.</x:v>
      </x:c>
      <x:c r="F35" s="13" t="str">
        <x:f>IFERROR(VLOOKUP($A35,'Menu'!$A$2:$E$38,2,FALSE),"")</x:f>
        <x:v>MM-SWITCH</x:v>
      </x:c>
      <x:c r="G35" s="29" t="str">
        <x:f>IFERROR(VLOOKUP($A35,'Menu'!$A$2:$E$38,3,FALSE),"")</x:f>
        <x:v>Shooting 6</x:v>
      </x:c>
      <x:c r="H35" s="15" t="str">
        <x:f>IFERROR(VLOOKUP($A35,'Menu'!$A$2:$E$38,4,FALSE),"")</x:f>
        <x:v>Shutter mode; use EFCS and Mechanical for the comparison</x:v>
      </x:c>
      <x:c r="I35" s="13" t="str">
        <x:v>Not started</x:v>
      </x:c>
      <x:c r="J35" s="30" t="str"/>
      <x:c r="K35" s="17" t="str"/>
      <x:c r="L35" s="15" t="str"/>
      <x:c r="M35" s="15" t="str"/>
      <x:c r="N35" s="15" t="str">
        <x:v>Use a detailed static target, stabilization Off, and remote/timer release.</x:v>
      </x:c>
      <x:c r="O35" s="15" t="str">
        <x:v>Approved target pending verification</x:v>
      </x:c>
      <x:c r="P35" s="17" t="str">
        <x:v>Yes</x:v>
      </x:c>
      <x:c r="Q35" s="15" t="str">
        <x:v>00 Master/baseline.yaml; EFCS decision; R5 Quick Reference</x:v>
      </x:c>
      <x:c r="R35" s="17" t="str">
        <x:v>No</x:v>
      </x:c>
    </x:row>
    <x:row r="36" hidden="0">
      <x:c r="A36" s="17" t="str">
        <x:v>EFCS-BOKEH-01</x:v>
      </x:c>
      <x:c r="B36" s="17" t="n">
        <x:v>31</x:v>
      </x:c>
      <x:c r="C36" s="22" t="str">
        <x:v>EFCS Tests</x:v>
      </x:c>
      <x:c r="D36" s="15" t="str">
        <x:v>Matched frames show whether EFCS clips out-of-focus highlights at fast shutter speeds.</x:v>
      </x:c>
      <x:c r="E36" s="15" t="str">
        <x:v>Compare EFCS and Mechanical bokeh with the EF 50mm f/1.4 at 1/1000–1/8000 sec.</x:v>
      </x:c>
      <x:c r="F36" s="13" t="str">
        <x:f>IFERROR(VLOOKUP($A36,'Menu'!$A$2:$E$38,2,FALSE),"")</x:f>
        <x:v>MM-SWITCH</x:v>
      </x:c>
      <x:c r="G36" s="29" t="str">
        <x:f>IFERROR(VLOOKUP($A36,'Menu'!$A$2:$E$38,3,FALSE),"")</x:f>
        <x:v>Shooting 6</x:v>
      </x:c>
      <x:c r="H36" s="15" t="str">
        <x:f>IFERROR(VLOOKUP($A36,'Menu'!$A$2:$E$38,4,FALSE),"")</x:f>
        <x:v>Shutter mode; use EFCS and Mechanical for the comparison</x:v>
      </x:c>
      <x:c r="I36" s="13" t="str">
        <x:v>Not started</x:v>
      </x:c>
      <x:c r="J36" s="30" t="str"/>
      <x:c r="K36" s="17" t="str"/>
      <x:c r="L36" s="15" t="str"/>
      <x:c r="M36" s="15" t="str"/>
      <x:c r="N36" s="15" t="str">
        <x:v>Use distinct point highlights and constant focus distance.</x:v>
      </x:c>
      <x:c r="O36" s="15" t="str">
        <x:v>Approved target pending verification</x:v>
      </x:c>
      <x:c r="P36" s="17" t="str">
        <x:v>Yes</x:v>
      </x:c>
      <x:c r="Q36" s="15" t="str">
        <x:v>People profile; EFCS decision; R5 Quick Reference</x:v>
      </x:c>
      <x:c r="R36" s="17" t="str">
        <x:v>No</x:v>
      </x:c>
    </x:row>
    <x:row r="37" hidden="0">
      <x:c r="A37" s="17" t="str">
        <x:v>EFCS-LIGHT-01</x:v>
      </x:c>
      <x:c r="B37" s="17" t="n">
        <x:v>32</x:v>
      </x:c>
      <x:c r="C37" s="22" t="str">
        <x:v>EFCS Tests</x:v>
      </x:c>
      <x:c r="D37" s="15" t="str">
        <x:v>Exposure and color consistency are assessed at Sports shutter speeds with Anti-flicker Off and On.</x:v>
      </x:c>
      <x:c r="E37" s="15" t="str">
        <x:v>Compare EFCS and Mechanical under representative LED or fluorescent lighting.</x:v>
      </x:c>
      <x:c r="F37" s="13" t="str">
        <x:f>IFERROR(VLOOKUP($A37,'Menu'!$A$2:$E$38,2,FALSE),"")</x:f>
        <x:v>MM-SWITCH; MENU for Anti-flicker</x:v>
      </x:c>
      <x:c r="G37" s="29" t="str">
        <x:f>IFERROR(VLOOKUP($A37,'Menu'!$A$2:$E$38,3,FALSE),"")</x:f>
        <x:v>Multiple</x:v>
      </x:c>
      <x:c r="H37" s="15" t="str">
        <x:f>IFERROR(VLOOKUP($A37,'Menu'!$A$2:$E$38,4,FALSE),"")</x:f>
        <x:v>Shooting 6: Shutter mode; Shooting 2: Anti-flicker shoot.</x:v>
      </x:c>
      <x:c r="I37" s="13" t="str">
        <x:v>Not started</x:v>
      </x:c>
      <x:c r="J37" s="30" t="str"/>
      <x:c r="K37" s="17" t="str"/>
      <x:c r="L37" s="15" t="str"/>
      <x:c r="M37" s="15" t="str"/>
      <x:c r="N37" s="15" t="str">
        <x:v>Use actual indoor Sports lighting when practical.</x:v>
      </x:c>
      <x:c r="O37" s="15" t="str">
        <x:v>Approved target pending verification</x:v>
      </x:c>
      <x:c r="P37" s="17" t="str">
        <x:v>Yes</x:v>
      </x:c>
      <x:c r="Q37" s="15" t="str">
        <x:v>Sports profile; EFCS decision; R5 Quick Reference</x:v>
      </x:c>
      <x:c r="R37" s="17" t="str">
        <x:v>No</x:v>
      </x:c>
    </x:row>
    <x:row r="38" hidden="0">
      <x:c r="A38" s="17" t="str">
        <x:v>EFCS-BURST-01</x:v>
      </x:c>
      <x:c r="B38" s="17" t="n">
        <x:v>33</x:v>
      </x:c>
      <x:c r="C38" s="22" t="str">
        <x:v>EFCS Tests</x:v>
      </x:c>
      <x:c r="D38" s="15" t="str">
        <x:v>Burst cadence, tracking, and viewfinder behavior are recorded for EFCS and Mechanical.</x:v>
      </x:c>
      <x:c r="E38" s="15" t="str">
        <x:v>Compare High and High Speed Continuous+ burst behavior.</x:v>
      </x:c>
      <x:c r="F38" s="13" t="str">
        <x:f>IFERROR(VLOOKUP($A38,'Menu'!$A$2:$E$38,2,FALSE),"")</x:f>
        <x:v>MM-SWITCH; Q for Drive mode</x:v>
      </x:c>
      <x:c r="G38" s="29" t="str">
        <x:f>IFERROR(VLOOKUP($A38,'Menu'!$A$2:$E$38,3,FALSE),"")</x:f>
        <x:v>Multiple</x:v>
      </x:c>
      <x:c r="H38" s="15" t="str">
        <x:f>IFERROR(VLOOKUP($A38,'Menu'!$A$2:$E$38,4,FALSE),"")</x:f>
        <x:v>Shooting 6: Shutter mode; AF menu/Quick Control: Drive mode</x:v>
      </x:c>
      <x:c r="I38" s="13" t="str">
        <x:v>Not started</x:v>
      </x:c>
      <x:c r="J38" s="30" t="str"/>
      <x:c r="K38" s="17" t="str"/>
      <x:c r="L38" s="15" t="str"/>
      <x:c r="M38" s="15" t="str"/>
      <x:c r="N38" s="15" t="str">
        <x:v>Record battery, lens, shutter, aperture, card, and Anti-flicker state.</x:v>
      </x:c>
      <x:c r="O38" s="15" t="str">
        <x:v>Approved target pending verification</x:v>
      </x:c>
      <x:c r="P38" s="17" t="str">
        <x:v>Yes</x:v>
      </x:c>
      <x:c r="Q38" s="15" t="str">
        <x:v>EFCS decision; R5 Quick Reference</x:v>
      </x:c>
      <x:c r="R38" s="17" t="str">
        <x:v>No</x:v>
      </x:c>
    </x:row>
    <x:row r="39" hidden="0">
      <x:c r="A39" s="17" t="str">
        <x:v>FLASH-PLUTO-01</x:v>
      </x:c>
      <x:c r="B39" s="17" t="n">
        <x:v>34</x:v>
      </x:c>
      <x:c r="C39" s="22" t="str">
        <x:v>EFCS Tests</x:v>
      </x:c>
      <x:c r="D39" s="15" t="str">
        <x:v>Trigger timing, sync, exposure consistency, flash duration, and recycle behavior pass.</x:v>
      </x:c>
      <x:c r="E39" s="15" t="str">
        <x:v>Verify the Mechanical 1/200-sec. Pluto/manual-flash Waterdrops setup.</x:v>
      </x:c>
      <x:c r="F39" s="13" t="str">
        <x:f>IFERROR(VLOOKUP($A39,'Menu'!$A$2:$E$38,2,FALSE),"")</x:f>
        <x:v>MM-SWITCH; shooting controls</x:v>
      </x:c>
      <x:c r="G39" s="29" t="str">
        <x:f>IFERROR(VLOOKUP($A39,'Menu'!$A$2:$E$38,3,FALSE),"")</x:f>
        <x:v>Multiple</x:v>
      </x:c>
      <x:c r="H39" s="15" t="str">
        <x:f>IFERROR(VLOOKUP($A39,'Menu'!$A$2:$E$38,4,FALSE),"")</x:f>
        <x:v>Shooting 6: Shutter mode &gt; Mechanical; shooting screen: M, 1/200 sec., aperture, ISO; Shooting 2: External Speedlite control when applicable</x:v>
      </x:c>
      <x:c r="I39" s="13" t="str">
        <x:v>Not started</x:v>
      </x:c>
      <x:c r="J39" s="30" t="str"/>
      <x:c r="K39" s="17" t="str"/>
      <x:c r="L39" s="15" t="str"/>
      <x:c r="M39" s="15" t="str"/>
      <x:c r="N39" s="15" t="str">
        <x:v>Start at manual flash 1/16–1/64 and record the complete setup.</x:v>
      </x:c>
      <x:c r="O39" s="15" t="str">
        <x:v>Approved target pending verification</x:v>
      </x:c>
      <x:c r="P39" s="17" t="str">
        <x:v>Yes</x:v>
      </x:c>
      <x:c r="Q39" s="15" t="str">
        <x:v>Waterdrops profile; Flash Photography; EFCS decision</x:v>
      </x:c>
      <x:c r="R39" s="17" t="str">
        <x:v>No</x:v>
      </x:c>
    </x:row>
    <x:row r="40" hidden="0">
      <x:c r="A40" s="17" t="str">
        <x:v>FINAL-READ-01</x:v>
      </x:c>
      <x:c r="B40" s="17" t="n">
        <x:v>35</x:v>
      </x:c>
      <x:c r="C40" s="22" t="str">
        <x:v>Finalization</x:v>
      </x:c>
      <x:c r="D40" s="15" t="str">
        <x:v>All three custom modes, both approved My Menu tabs, and shared controls remain correct; Auto update remains disabled.</x:v>
      </x:c>
      <x:c r="E40" s="15" t="str">
        <x:v>Recall C1, C2, and C3 and complete a final read-back.</x:v>
      </x:c>
      <x:c r="F40" s="13" t="str">
        <x:f>IFERROR(VLOOKUP($A40,'Menu'!$A$2:$E$38,2,FALSE),"")</x:f>
        <x:v>M-Fn; MM-SWITCH; MM-AF Case; Q; MENU</x:v>
      </x:c>
      <x:c r="G40" s="29" t="str">
        <x:f>IFERROR(VLOOKUP($A40,'Menu'!$A$2:$E$38,3,FALSE),"")</x:f>
        <x:v>Multiple</x:v>
      </x:c>
      <x:c r="H40" s="15" t="str">
        <x:f>IFERROR(VLOOKUP($A40,'Menu'!$A$2:$E$38,4,FALSE),"")</x:f>
        <x:v>Recall C1-C3 with M-Fn; verify SWITCH and AF Case; Set-up 5 confirm Auto update is disabled; Custom Functions 3 confirm control assignments</x:v>
      </x:c>
      <x:c r="I40" s="13" t="str">
        <x:v>Not started</x:v>
      </x:c>
      <x:c r="J40" s="30" t="str"/>
      <x:c r="K40" s="17" t="str"/>
      <x:c r="L40" s="15" t="str"/>
      <x:c r="M40" s="15" t="str"/>
      <x:c r="N40" s="15" t="str">
        <x:v>Resolve every discrepancy before saving the final configuration.</x:v>
      </x:c>
      <x:c r="O40" s="15" t="str">
        <x:v>Approved target pending verification</x:v>
      </x:c>
      <x:c r="P40" s="17" t="str">
        <x:v>Yes</x:v>
      </x:c>
      <x:c r="Q40" s="15" t="str">
        <x:v>controls.md; project memory</x:v>
      </x:c>
      <x:c r="R40" s="17" t="str">
        <x:v>No</x:v>
      </x:c>
    </x:row>
    <x:row r="41" hidden="0">
      <x:c r="A41" s="17" t="str">
        <x:v>FINAL-SAVE-01</x:v>
      </x:c>
      <x:c r="B41" s="17" t="n">
        <x:v>36</x:v>
      </x:c>
      <x:c r="C41" s="22" t="str">
        <x:v>Finalization</x:v>
      </x:c>
      <x:c r="D41" s="15" t="str">
        <x:v>A named post-verification settings file exists and is recorded in the Sessions sheet.</x:v>
      </x:c>
      <x:c r="E41" s="15" t="str">
        <x:v>Save the verified complete camera configuration to the card.</x:v>
      </x:c>
      <x:c r="F41" s="13" t="str">
        <x:f>IFERROR(VLOOKUP($A41,'Menu'!$A$2:$E$38,2,FALSE),"")</x:f>
        <x:v>MENU</x:v>
      </x:c>
      <x:c r="G41" s="29" t="str">
        <x:f>IFERROR(VLOOKUP($A41,'Menu'!$A$2:$E$38,3,FALSE),"")</x:f>
        <x:v>Set-up 5</x:v>
      </x:c>
      <x:c r="H41" s="15" t="str">
        <x:f>IFERROR(VLOOKUP($A41,'Menu'!$A$2:$E$38,4,FALSE),"")</x:f>
        <x:v>Save/load cam settings on card &gt; Save to card</x:v>
      </x:c>
      <x:c r="I41" s="13" t="str">
        <x:v>Not started</x:v>
      </x:c>
      <x:c r="J41" s="30" t="str"/>
      <x:c r="K41" s="17" t="str"/>
      <x:c r="L41" s="15" t="str"/>
      <x:c r="M41" s="15" t="str"/>
      <x:c r="N41" s="15" t="str">
        <x:v>Preserve the completed workbook and test images.</x:v>
      </x:c>
      <x:c r="O41" s="15" t="str">
        <x:v>Approved target pending verification</x:v>
      </x:c>
      <x:c r="P41" s="17" t="str">
        <x:v>No</x:v>
      </x:c>
      <x:c r="Q41" s="15" t="str"/>
      <x:c r="R41" s="17" t="str">
        <x:v>Not applicable</x:v>
      </x:c>
    </x:row>
    <x:row r="42" hidden="0">
      <x:c r="A42" s="17" t="str">
        <x:v>PROJECT-UPDATE-01</x:v>
      </x:c>
      <x:c r="B42" s="17" t="n">
        <x:v>37</x:v>
      </x:c>
      <x:c r="C42" s="22" t="str">
        <x:v>Project Update</x:v>
      </x:c>
      <x:c r="D42" s="15" t="str">
        <x:v>Only completed, unambiguous evidence is promoted to owner-confirmed status.</x:v>
      </x:c>
      <x:c r="E42" s="15" t="str">
        <x:v>Review Verified rows that require a project update.</x:v>
      </x:c>
      <x:c r="F42" s="13" t="str">
        <x:f>IFERROR(VLOOKUP($A42,'Menu'!$A$2:$E$38,2,FALSE),"")</x:f>
        <x:v>Completed tracker</x:v>
      </x:c>
      <x:c r="G42" s="29" t="str">
        <x:f>IFERROR(VLOOKUP($A42,'Menu'!$A$2:$E$38,3,FALSE),"")</x:f>
        <x:v>No camera menu</x:v>
      </x:c>
      <x:c r="H42" s="15" t="str">
        <x:f>IFERROR(VLOOKUP($A42,'Menu'!$A$2:$E$38,4,FALSE),"")</x:f>
        <x:v>Review the completed tracker and update the reference-system evidence states</x:v>
      </x:c>
      <x:c r="I42" s="13" t="str">
        <x:v>Blocked</x:v>
      </x:c>
      <x:c r="J42" s="30" t="str"/>
      <x:c r="K42" s="17" t="str"/>
      <x:c r="L42" s="15" t="str"/>
      <x:c r="M42" s="15" t="str"/>
      <x:c r="N42" s="15" t="str">
        <x:v>Complete physical testing before updating project evidence states.</x:v>
      </x:c>
      <x:c r="O42" s="15" t="str">
        <x:v>Unresolved</x:v>
      </x:c>
      <x:c r="P42" s="17" t="str">
        <x:v>Yes</x:v>
      </x:c>
      <x:c r="Q42" s="15" t="str">
        <x:v>TODO; controls.md; project memory; applicable profiles and guides</x:v>
      </x:c>
      <x:c r="R42" s="17" t="str">
        <x:v>No</x:v>
      </x:c>
    </x:row>
  </x:sheetData>
  <x:conditionalFormatting sqref="I6:I42">
    <x:cfRule type="containsText" dxfId="0" priority="1" operator="containsText" text="Backup-Settings"/>
    <x:cfRule type="containsText" dxfId="1" priority="2" operator="containsText" text="Verified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Failed"/>
  </x:conditionalFormatting>
  <x:dataValidations count="4">
    <x:dataValidation type="list" sqref="I6:I42">
      <x:formula1>"Not started,In progress,Configured—not registered,Registered—pending read-back,Backup-Settings,Verified,Failed—needs correction,Inconclusive—needs retest,Blocked,Not applicable"</x:formula1>
    </x:dataValidation>
    <x:dataValidation type="list" sqref="O6:O42">
      <x:formula1>"Approved target pending verification,Owner-confirmed current configuration,Verified Canon capability,Project recommendation,Unresolved"</x:formula1>
    </x:dataValidation>
    <x:dataValidation type="list" sqref="P6:P42">
      <x:formula1>"Yes,No,Not applicable"</x:formula1>
    </x:dataValidation>
    <x:dataValidation type="list" sqref="R6:R42">
      <x:formula1>"Yes,No,Not applicable"</x:formula1>
    </x:dataValidation>
  </x:dataValidations>
  <x:pageMargins left="0.7" right="0.7" top="0.75" bottom="0.75" header="0.3" footer="0.3"/>
  <x:drawing ns1:id="Rb374eecfc9f84421"/>
  <x:tableParts count="1">
    <x:tablePart ns1:id="Raa392843d73441f9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4" topLeftCell="B5" activePane="bottomRight" state="frozen"/>
      <x:selection pane="bottomRight" activeCell="B5" sqref="B5"/>
    </x:sheetView>
  </x:sheetViews>
  <x:sheetFormatPr defaultRowHeight="15"/>
  <x:cols>
    <x:col min="1" max="1" width="22.219999313354492" hidden="0" customWidth="1"/>
    <x:col min="2" max="2" width="24.889999389648438" hidden="0" customWidth="1"/>
    <x:col min="3" max="3" width="24.889999389648438" hidden="0" customWidth="1"/>
    <x:col min="4" max="4" width="14.220000267028809" hidden="0" customWidth="1"/>
    <x:col min="5" max="5" width="14.220000267028809" hidden="0" customWidth="1"/>
    <x:col min="6" max="6" width="26.670000076293945" hidden="0" customWidth="1"/>
    <x:col min="7" max="7" width="24.889999389648438" hidden="0" customWidth="1"/>
    <x:col min="8" max="8" width="14.220000267028809" hidden="0" customWidth="1"/>
    <x:col min="9" max="9" width="14.220000267028809" hidden="0" customWidth="1"/>
    <x:col min="10" max="10" width="26.670000076293945" hidden="0" customWidth="1"/>
    <x:col min="11" max="11" width="24.889999389648438" hidden="0" customWidth="1"/>
    <x:col min="12" max="12" width="14.220000267028809" hidden="0" customWidth="1"/>
    <x:col min="13" max="13" width="14.220000267028809" hidden="0" customWidth="1"/>
    <x:col min="14" max="14" width="26.670000076293945" hidden="0" customWidth="1"/>
    <x:col min="15" max="15" width="0.2199999988079071" hidden="0" customWidth="1"/>
    <x:col min="16" max="16" width="0.2199999988079071" hidden="0" customWidth="1"/>
    <x:col min="17" max="17" width="0.2199999988079071" hidden="0" customWidth="1"/>
    <x:col min="18" max="18" width="0.2199999988079071" hidden="0" customWidth="1"/>
  </x:cols>
  <x:sheetData>
    <x:row r="1">
      <x:c r="A1" s="48" t="str">
        <x:v>C1–C3 Registration: Configure → Register → Read Back → Verify</x:v>
      </x:c>
      <x:c r="B1" s="48"/>
      <x:c r="C1" s="56"/>
      <x:c r="D1" s="57"/>
      <x:c r="E1" s="57"/>
      <x:c r="F1" s="58"/>
      <x:c r="G1" s="56"/>
      <x:c r="H1" s="57"/>
      <x:c r="I1" s="57"/>
      <x:c r="J1" s="58"/>
      <x:c r="K1" s="56"/>
      <x:c r="L1" s="57"/>
      <x:c r="M1" s="57"/>
      <x:c r="N1" s="58"/>
      <x:c r="O1" s="47"/>
      <x:c r="P1" s="47"/>
      <x:c r="Q1" s="47"/>
      <x:c r="R1" s="47"/>
    </x:row>
    <x:row r="2">
      <x:c r="A2" s="49" t="str">
        <x:v>Work from a normal shooting mode. Validate the complete column before registering a slot. Record configuration and read-back separately for every setting.</x:v>
      </x:c>
      <x:c r="B2" s="49"/>
      <x:c r="C2" s="59"/>
      <x:c r="D2" s="38"/>
      <x:c r="E2" s="38"/>
      <x:c r="F2" s="60"/>
      <x:c r="G2" s="59"/>
      <x:c r="H2" s="38"/>
      <x:c r="I2" s="38"/>
      <x:c r="J2" s="60"/>
      <x:c r="K2" s="59"/>
      <x:c r="L2" s="38"/>
      <x:c r="M2" s="38"/>
      <x:c r="N2" s="60"/>
      <x:c r="O2" s="47"/>
      <x:c r="P2" s="47"/>
      <x:c r="Q2" s="47"/>
      <x:c r="R2" s="47"/>
    </x:row>
    <x:row r="3" ht="22" customHeight="1">
      <x:c r="A3" s="50" t="str">
        <x:v>Compare to:</x:v>
      </x:c>
      <x:c r="B3" s="50" t="str">
        <x:v>Default Settings</x:v>
      </x:c>
      <x:c r="C3" s="61" t="str">
        <x:v>Default Settings</x:v>
      </x:c>
      <x:c r="D3" s="6"/>
      <x:c r="E3" s="6"/>
      <x:c r="F3" s="62"/>
      <x:c r="G3" s="61" t="str">
        <x:v>Default Settings</x:v>
      </x:c>
      <x:c r="H3" s="6"/>
      <x:c r="I3" s="6"/>
      <x:c r="J3" s="62"/>
      <x:c r="K3" s="61" t="str">
        <x:v>Default Settings</x:v>
      </x:c>
      <x:c r="L3" s="6"/>
      <x:c r="M3" s="6"/>
      <x:c r="N3" s="62"/>
      <x:c r="O3" s="47"/>
      <x:c r="P3" s="47"/>
      <x:c r="Q3" s="47"/>
      <x:c r="R3" s="47"/>
    </x:row>
    <x:row r="4" hidden="0">
      <x:c r="A4" s="51" t="str">
        <x:v>Setting</x:v>
      </x:c>
      <x:c r="B4" s="51" t="str">
        <x:v>Default Settings</x:v>
      </x:c>
      <x:c r="C4" s="63" t="str">
        <x:v>C1 Wildlife Target</x:v>
      </x:c>
      <x:c r="D4" s="5" t="str">
        <x:v>C1 Configured</x:v>
      </x:c>
      <x:c r="E4" s="5" t="str">
        <x:v>C1 Read-back</x:v>
      </x:c>
      <x:c r="F4" s="64" t="str">
        <x:v>C1 Notes</x:v>
      </x:c>
      <x:c r="G4" s="63" t="str">
        <x:v>C2 Birds in Flight Target</x:v>
      </x:c>
      <x:c r="H4" s="5" t="str">
        <x:v>C2 Configured</x:v>
      </x:c>
      <x:c r="I4" s="5" t="str">
        <x:v>C2 Read-back</x:v>
      </x:c>
      <x:c r="J4" s="64" t="str">
        <x:v>C2 Notes</x:v>
      </x:c>
      <x:c r="K4" s="63" t="str">
        <x:v>C3 Landscape Target</x:v>
      </x:c>
      <x:c r="L4" s="5" t="str">
        <x:v>C3 Configured</x:v>
      </x:c>
      <x:c r="M4" s="5" t="str">
        <x:v>C3 Read-back</x:v>
      </x:c>
      <x:c r="N4" s="64" t="str">
        <x:v>C3 Notes</x:v>
      </x:c>
      <x:c r="O4" s="47"/>
      <x:c r="P4" s="47"/>
      <x:c r="Q4" s="47"/>
      <x:c r="R4" s="47"/>
    </x:row>
    <x:row r="5" hidden="0">
      <x:c r="A5" s="52" t="str">
        <x:v>Mode</x:v>
      </x:c>
      <x:c r="B5" s="54" t="str">
        <x:v>Fv</x:v>
      </x:c>
      <x:c r="C5" s="65" t="str">
        <x:v>Fv</x:v>
      </x:c>
      <x:c r="D5" s="40" t="str">
        <x:v>Not started</x:v>
      </x:c>
      <x:c r="E5" s="40" t="str">
        <x:v>Not started</x:v>
      </x:c>
      <x:c r="F5" s="66" t="str"/>
      <x:c r="G5" s="65" t="str">
        <x:v>Tv</x:v>
      </x:c>
      <x:c r="H5" s="40" t="str">
        <x:v>Not started</x:v>
      </x:c>
      <x:c r="I5" s="40" t="str">
        <x:v>Not started</x:v>
      </x:c>
      <x:c r="J5" s="66" t="str"/>
      <x:c r="K5" s="65" t="str">
        <x:v>Av</x:v>
      </x:c>
      <x:c r="L5" s="40" t="str">
        <x:v>Not started</x:v>
      </x:c>
      <x:c r="M5" s="40" t="str">
        <x:v>Not started</x:v>
      </x:c>
      <x:c r="N5" s="66" t="str"/>
      <x:c r="O5" s="47" t="str">
        <x:f>IF($B$3="Default Settings",B5,IF($B$3="C1 Wildlife",C5,IF($B$3="C2 Birds in Flight",G5,IF($B$3="C3 Landscape",K5,""))))</x:f>
        <x:v>Fv</x:v>
      </x:c>
      <x:c r="P5" s="47" t="str">
        <x:f>IF($C$3="Default Settings",B5,IF($C$3="C1 Wildlife",C5,IF($C$3="C2 Birds in Flight",G5,IF($C$3="C3 Landscape",K5,""))))</x:f>
        <x:v>Fv</x:v>
      </x:c>
      <x:c r="Q5" s="47" t="str">
        <x:f>IF($G$3="Default Settings",B5,IF($G$3="C1 Wildlife",C5,IF($G$3="C2 Birds in Flight",G5,IF($G$3="C3 Landscape",K5,""))))</x:f>
        <x:v>Fv</x:v>
      </x:c>
      <x:c r="R5" s="47" t="str">
        <x:f>IF($K$3="Default Settings",B5,IF($K$3="C1 Wildlife",C5,IF($K$3="C2 Birds in Flight",G5,IF($K$3="C3 Landscape",K5,""))))</x:f>
        <x:v>Fv</x:v>
      </x:c>
    </x:row>
    <x:row r="6" hidden="0">
      <x:c r="A6" s="52" t="str">
        <x:v>Metering</x:v>
      </x:c>
      <x:c r="B6" s="54" t="str">
        <x:v>Evaluative</x:v>
      </x:c>
      <x:c r="C6" s="65" t="str">
        <x:v>Evaluative</x:v>
      </x:c>
      <x:c r="D6" s="40" t="str">
        <x:v>Not started</x:v>
      </x:c>
      <x:c r="E6" s="40" t="str">
        <x:v>Not started</x:v>
      </x:c>
      <x:c r="F6" s="66" t="str"/>
      <x:c r="G6" s="65" t="str">
        <x:v>Evaluative</x:v>
      </x:c>
      <x:c r="H6" s="40" t="str">
        <x:v>Not started</x:v>
      </x:c>
      <x:c r="I6" s="40" t="str">
        <x:v>Not started</x:v>
      </x:c>
      <x:c r="J6" s="66" t="str"/>
      <x:c r="K6" s="65" t="str">
        <x:v>Evaluative</x:v>
      </x:c>
      <x:c r="L6" s="40" t="str">
        <x:v>Not started</x:v>
      </x:c>
      <x:c r="M6" s="40" t="str">
        <x:v>Not started</x:v>
      </x:c>
      <x:c r="N6" s="66" t="str"/>
      <x:c r="O6" s="47" t="str">
        <x:f>IF($B$3="Default Settings",B6,IF($B$3="C1 Wildlife",C6,IF($B$3="C2 Birds in Flight",G6,IF($B$3="C3 Landscape",K6,""))))</x:f>
        <x:v>Evaluative</x:v>
      </x:c>
      <x:c r="P6" s="47" t="str">
        <x:f>IF($C$3="Default Settings",B6,IF($C$3="C1 Wildlife",C6,IF($C$3="C2 Birds in Flight",G6,IF($C$3="C3 Landscape",K6,""))))</x:f>
        <x:v>Evaluative</x:v>
      </x:c>
      <x:c r="Q6" s="47" t="str">
        <x:f>IF($G$3="Default Settings",B6,IF($G$3="C1 Wildlife",C6,IF($G$3="C2 Birds in Flight",G6,IF($G$3="C3 Landscape",K6,""))))</x:f>
        <x:v>Evaluative</x:v>
      </x:c>
      <x:c r="R6" s="47" t="str">
        <x:f>IF($K$3="Default Settings",B6,IF($K$3="C1 Wildlife",C6,IF($K$3="C2 Birds in Flight",G6,IF($K$3="C3 Landscape",K6,""))))</x:f>
        <x:v>Evaluative</x:v>
      </x:c>
    </x:row>
    <x:row r="7" hidden="0">
      <x:c r="A7" s="52" t="str">
        <x:v>Exposure Compensation</x:v>
      </x:c>
      <x:c r="B7" s="54" t="str">
        <x:v>0</x:v>
      </x:c>
      <x:c r="C7" s="65" t="str">
        <x:v>0</x:v>
      </x:c>
      <x:c r="D7" s="40" t="str">
        <x:v>Not started</x:v>
      </x:c>
      <x:c r="E7" s="40" t="str">
        <x:v>Not started</x:v>
      </x:c>
      <x:c r="F7" s="66" t="str"/>
      <x:c r="G7" s="65" t="str">
        <x:v>0 starting point</x:v>
      </x:c>
      <x:c r="H7" s="40" t="str">
        <x:v>Not started</x:v>
      </x:c>
      <x:c r="I7" s="40" t="str">
        <x:v>Not started</x:v>
      </x:c>
      <x:c r="J7" s="66" t="str"/>
      <x:c r="K7" s="65" t="str">
        <x:v>0</x:v>
      </x:c>
      <x:c r="L7" s="40" t="str">
        <x:v>Not started</x:v>
      </x:c>
      <x:c r="M7" s="40" t="str">
        <x:v>Not started</x:v>
      </x:c>
      <x:c r="N7" s="66" t="str"/>
      <x:c r="O7" s="47" t="str">
        <x:f>IF($B$3="Default Settings",B7,IF($B$3="C1 Wildlife",C7,IF($B$3="C2 Birds in Flight",G7,IF($B$3="C3 Landscape",K7,""))))</x:f>
        <x:v>0</x:v>
      </x:c>
      <x:c r="P7" s="47" t="str">
        <x:f>IF($C$3="Default Settings",B7,IF($C$3="C1 Wildlife",C7,IF($C$3="C2 Birds in Flight",G7,IF($C$3="C3 Landscape",K7,""))))</x:f>
        <x:v>0</x:v>
      </x:c>
      <x:c r="Q7" s="47" t="str">
        <x:f>IF($G$3="Default Settings",B7,IF($G$3="C1 Wildlife",C7,IF($G$3="C2 Birds in Flight",G7,IF($G$3="C3 Landscape",K7,""))))</x:f>
        <x:v>0</x:v>
      </x:c>
      <x:c r="R7" s="47" t="str">
        <x:f>IF($K$3="Default Settings",B7,IF($K$3="C1 Wildlife",C7,IF($K$3="C2 Birds in Flight",G7,IF($K$3="C3 Landscape",K7,""))))</x:f>
        <x:v>0</x:v>
      </x:c>
    </x:row>
    <x:row r="8" hidden="0">
      <x:c r="A8" s="52" t="str">
        <x:v>Shutter Speed</x:v>
      </x:c>
      <x:c r="B8" s="54" t="str">
        <x:v>Auto</x:v>
      </x:c>
      <x:c r="C8" s="65" t="str">
        <x:v>Auto</x:v>
      </x:c>
      <x:c r="D8" s="40" t="str">
        <x:v>Not started</x:v>
      </x:c>
      <x:c r="E8" s="40" t="str">
        <x:v>Not started</x:v>
      </x:c>
      <x:c r="F8" s="66" t="str"/>
      <x:c r="G8" s="65" t="str">
        <x:v>1/2500 sec.</x:v>
      </x:c>
      <x:c r="H8" s="40" t="str">
        <x:v>Not started</x:v>
      </x:c>
      <x:c r="I8" s="40" t="str">
        <x:v>Not started</x:v>
      </x:c>
      <x:c r="J8" s="66" t="str"/>
      <x:c r="K8" s="65" t="str">
        <x:v>Auto</x:v>
      </x:c>
      <x:c r="L8" s="40" t="str">
        <x:v>Not started</x:v>
      </x:c>
      <x:c r="M8" s="40" t="str">
        <x:v>Not started</x:v>
      </x:c>
      <x:c r="N8" s="66" t="str"/>
      <x:c r="O8" s="47" t="str">
        <x:f>IF($B$3="Default Settings",B8,IF($B$3="C1 Wildlife",C8,IF($B$3="C2 Birds in Flight",G8,IF($B$3="C3 Landscape",K8,""))))</x:f>
        <x:v>Auto</x:v>
      </x:c>
      <x:c r="P8" s="47" t="str">
        <x:f>IF($C$3="Default Settings",B8,IF($C$3="C1 Wildlife",C8,IF($C$3="C2 Birds in Flight",G8,IF($C$3="C3 Landscape",K8,""))))</x:f>
        <x:v>Auto</x:v>
      </x:c>
      <x:c r="Q8" s="47" t="str">
        <x:f>IF($G$3="Default Settings",B8,IF($G$3="C1 Wildlife",C8,IF($G$3="C2 Birds in Flight",G8,IF($G$3="C3 Landscape",K8,""))))</x:f>
        <x:v>Auto</x:v>
      </x:c>
      <x:c r="R8" s="47" t="str">
        <x:f>IF($K$3="Default Settings",B8,IF($K$3="C1 Wildlife",C8,IF($K$3="C2 Birds in Flight",G8,IF($K$3="C3 Landscape",K8,""))))</x:f>
        <x:v>Auto</x:v>
      </x:c>
    </x:row>
    <x:row r="9" hidden="0">
      <x:c r="A9" s="52" t="str">
        <x:v>Aperture</x:v>
      </x:c>
      <x:c r="B9" s="54" t="str">
        <x:v>Auto</x:v>
      </x:c>
      <x:c r="C9" s="65" t="str">
        <x:v>Auto</x:v>
      </x:c>
      <x:c r="D9" s="40" t="str">
        <x:v>Not started</x:v>
      </x:c>
      <x:c r="E9" s="40" t="str">
        <x:v>Not started</x:v>
      </x:c>
      <x:c r="F9" s="66" t="str"/>
      <x:c r="G9" s="65" t="str">
        <x:v>Auto</x:v>
      </x:c>
      <x:c r="H9" s="40" t="str">
        <x:v>Not started</x:v>
      </x:c>
      <x:c r="I9" s="40" t="str">
        <x:v>Not started</x:v>
      </x:c>
      <x:c r="J9" s="66" t="str"/>
      <x:c r="K9" s="65" t="str">
        <x:v>f/9</x:v>
      </x:c>
      <x:c r="L9" s="40" t="str">
        <x:v>Not started</x:v>
      </x:c>
      <x:c r="M9" s="40" t="str">
        <x:v>Not started</x:v>
      </x:c>
      <x:c r="N9" s="66" t="str"/>
      <x:c r="O9" s="47" t="str">
        <x:f>IF($B$3="Default Settings",B9,IF($B$3="C1 Wildlife",C9,IF($B$3="C2 Birds in Flight",G9,IF($B$3="C3 Landscape",K9,""))))</x:f>
        <x:v>Auto</x:v>
      </x:c>
      <x:c r="P9" s="47" t="str">
        <x:f>IF($C$3="Default Settings",B9,IF($C$3="C1 Wildlife",C9,IF($C$3="C2 Birds in Flight",G9,IF($C$3="C3 Landscape",K9,""))))</x:f>
        <x:v>Auto</x:v>
      </x:c>
      <x:c r="Q9" s="47" t="str">
        <x:f>IF($G$3="Default Settings",B9,IF($G$3="C1 Wildlife",C9,IF($G$3="C2 Birds in Flight",G9,IF($G$3="C3 Landscape",K9,""))))</x:f>
        <x:v>Auto</x:v>
      </x:c>
      <x:c r="R9" s="47" t="str">
        <x:f>IF($K$3="Default Settings",B9,IF($K$3="C1 Wildlife",C9,IF($K$3="C2 Birds in Flight",G9,IF($K$3="C3 Landscape",K9,""))))</x:f>
        <x:v>Auto</x:v>
      </x:c>
    </x:row>
    <x:row r="10" hidden="0">
      <x:c r="A10" s="52" t="str">
        <x:v>ISO</x:v>
      </x:c>
      <x:c r="B10" s="54" t="str">
        <x:v>Auto</x:v>
      </x:c>
      <x:c r="C10" s="65" t="str">
        <x:v>Auto</x:v>
      </x:c>
      <x:c r="D10" s="40" t="str">
        <x:v>Not started</x:v>
      </x:c>
      <x:c r="E10" s="40" t="str">
        <x:v>Not started</x:v>
      </x:c>
      <x:c r="F10" s="66" t="str"/>
      <x:c r="G10" s="65" t="str">
        <x:v>Auto</x:v>
      </x:c>
      <x:c r="H10" s="40" t="str">
        <x:v>Not started</x:v>
      </x:c>
      <x:c r="I10" s="40" t="str">
        <x:v>Not started</x:v>
      </x:c>
      <x:c r="J10" s="66" t="str"/>
      <x:c r="K10" s="65" t="str">
        <x:v>100</x:v>
      </x:c>
      <x:c r="L10" s="40" t="str">
        <x:v>Not started</x:v>
      </x:c>
      <x:c r="M10" s="40" t="str">
        <x:v>Not started</x:v>
      </x:c>
      <x:c r="N10" s="66" t="str"/>
      <x:c r="O10" s="47" t="str">
        <x:f>IF($B$3="Default Settings",B10,IF($B$3="C1 Wildlife",C10,IF($B$3="C2 Birds in Flight",G10,IF($B$3="C3 Landscape",K10,""))))</x:f>
        <x:v>Auto</x:v>
      </x:c>
      <x:c r="P10" s="47" t="str">
        <x:f>IF($C$3="Default Settings",B10,IF($C$3="C1 Wildlife",C10,IF($C$3="C2 Birds in Flight",G10,IF($C$3="C3 Landscape",K10,""))))</x:f>
        <x:v>Auto</x:v>
      </x:c>
      <x:c r="Q10" s="47" t="str">
        <x:f>IF($G$3="Default Settings",B10,IF($G$3="C1 Wildlife",C10,IF($G$3="C2 Birds in Flight",G10,IF($G$3="C3 Landscape",K10,""))))</x:f>
        <x:v>Auto</x:v>
      </x:c>
      <x:c r="R10" s="47" t="str">
        <x:f>IF($K$3="Default Settings",B10,IF($K$3="C1 Wildlife",C10,IF($K$3="C2 Birds in Flight",G10,IF($K$3="C3 Landscape",K10,""))))</x:f>
        <x:v>Auto</x:v>
      </x:c>
    </x:row>
    <x:row r="11" hidden="0">
      <x:c r="A11" s="52" t="str">
        <x:v>Auto ISO Maximum</x:v>
      </x:c>
      <x:c r="B11" s="54" t="str">
        <x:v>12800</x:v>
      </x:c>
      <x:c r="C11" s="65" t="str">
        <x:v>12800</x:v>
      </x:c>
      <x:c r="D11" s="40" t="str">
        <x:v>Not started</x:v>
      </x:c>
      <x:c r="E11" s="40" t="str">
        <x:v>Not started</x:v>
      </x:c>
      <x:c r="F11" s="66" t="str"/>
      <x:c r="G11" s="65" t="str">
        <x:v>12800</x:v>
      </x:c>
      <x:c r="H11" s="40" t="str">
        <x:v>Not started</x:v>
      </x:c>
      <x:c r="I11" s="40" t="str">
        <x:v>Not started</x:v>
      </x:c>
      <x:c r="J11" s="66" t="str"/>
      <x:c r="K11" s="65" t="str">
        <x:v>12800</x:v>
      </x:c>
      <x:c r="L11" s="40" t="str">
        <x:v>Not started</x:v>
      </x:c>
      <x:c r="M11" s="40" t="str">
        <x:v>Not started</x:v>
      </x:c>
      <x:c r="N11" s="66" t="str"/>
      <x:c r="O11" s="47" t="str">
        <x:f>IF($B$3="Default Settings",B11,IF($B$3="C1 Wildlife",C11,IF($B$3="C2 Birds in Flight",G11,IF($B$3="C3 Landscape",K11,""))))</x:f>
        <x:v>12800</x:v>
      </x:c>
      <x:c r="P11" s="47" t="str">
        <x:f>IF($C$3="Default Settings",B11,IF($C$3="C1 Wildlife",C11,IF($C$3="C2 Birds in Flight",G11,IF($C$3="C3 Landscape",K11,""))))</x:f>
        <x:v>12800</x:v>
      </x:c>
      <x:c r="Q11" s="47" t="str">
        <x:f>IF($G$3="Default Settings",B11,IF($G$3="C1 Wildlife",C11,IF($G$3="C2 Birds in Flight",G11,IF($G$3="C3 Landscape",K11,""))))</x:f>
        <x:v>12800</x:v>
      </x:c>
      <x:c r="R11" s="47" t="str">
        <x:f>IF($K$3="Default Settings",B11,IF($K$3="C1 Wildlife",C11,IF($K$3="C2 Birds in Flight",G11,IF($K$3="C3 Landscape",K11,""))))</x:f>
        <x:v>12800</x:v>
      </x:c>
    </x:row>
    <x:row r="12" hidden="0">
      <x:c r="A12" s="52" t="str">
        <x:v>AF Operation</x:v>
      </x:c>
      <x:c r="B12" s="54" t="str">
        <x:v>Servo AF</x:v>
      </x:c>
      <x:c r="C12" s="65" t="str">
        <x:v>Servo AF</x:v>
      </x:c>
      <x:c r="D12" s="40" t="str">
        <x:v>Not started</x:v>
      </x:c>
      <x:c r="E12" s="40" t="str">
        <x:v>Not started</x:v>
      </x:c>
      <x:c r="F12" s="66" t="str"/>
      <x:c r="G12" s="65" t="str">
        <x:v>Servo AF</x:v>
      </x:c>
      <x:c r="H12" s="40" t="str">
        <x:v>Not started</x:v>
      </x:c>
      <x:c r="I12" s="40" t="str">
        <x:v>Not started</x:v>
      </x:c>
      <x:c r="J12" s="66" t="str"/>
      <x:c r="K12" s="65" t="str">
        <x:v>One-Shot AF</x:v>
      </x:c>
      <x:c r="L12" s="40" t="str">
        <x:v>Not started</x:v>
      </x:c>
      <x:c r="M12" s="40" t="str">
        <x:v>Not started</x:v>
      </x:c>
      <x:c r="N12" s="66" t="str"/>
      <x:c r="O12" s="47" t="str">
        <x:f>IF($B$3="Default Settings",B12,IF($B$3="C1 Wildlife",C12,IF($B$3="C2 Birds in Flight",G12,IF($B$3="C3 Landscape",K12,""))))</x:f>
        <x:v>Servo AF</x:v>
      </x:c>
      <x:c r="P12" s="47" t="str">
        <x:f>IF($C$3="Default Settings",B12,IF($C$3="C1 Wildlife",C12,IF($C$3="C2 Birds in Flight",G12,IF($C$3="C3 Landscape",K12,""))))</x:f>
        <x:v>Servo AF</x:v>
      </x:c>
      <x:c r="Q12" s="47" t="str">
        <x:f>IF($G$3="Default Settings",B12,IF($G$3="C1 Wildlife",C12,IF($G$3="C2 Birds in Flight",G12,IF($G$3="C3 Landscape",K12,""))))</x:f>
        <x:v>Servo AF</x:v>
      </x:c>
      <x:c r="R12" s="47" t="str">
        <x:f>IF($K$3="Default Settings",B12,IF($K$3="C1 Wildlife",C12,IF($K$3="C2 Birds in Flight",G12,IF($K$3="C3 Landscape",K12,""))))</x:f>
        <x:v>Servo AF</x:v>
      </x:c>
    </x:row>
    <x:row r="13" hidden="0">
      <x:c r="A13" s="52" t="str">
        <x:v>Servo AF Case</x:v>
      </x:c>
      <x:c r="B13" s="54" t="str">
        <x:v>Case A (Auto)</x:v>
      </x:c>
      <x:c r="C13" s="65" t="str">
        <x:v>Case A (Auto)</x:v>
      </x:c>
      <x:c r="D13" s="40" t="str">
        <x:v>Not started</x:v>
      </x:c>
      <x:c r="E13" s="40" t="str">
        <x:v>Not started</x:v>
      </x:c>
      <x:c r="F13" s="66" t="str"/>
      <x:c r="G13" s="65" t="str">
        <x:v>Case 4</x:v>
      </x:c>
      <x:c r="H13" s="40" t="str">
        <x:v>Not started</x:v>
      </x:c>
      <x:c r="I13" s="40" t="str">
        <x:v>Not started</x:v>
      </x:c>
      <x:c r="J13" s="66" t="str"/>
      <x:c r="K13" s="65" t="str">
        <x:v>Not Used</x:v>
      </x:c>
      <x:c r="L13" s="40" t="str">
        <x:v>Not started</x:v>
      </x:c>
      <x:c r="M13" s="40" t="str">
        <x:v>Not started</x:v>
      </x:c>
      <x:c r="N13" s="66" t="str"/>
      <x:c r="O13" s="47" t="str">
        <x:f>IF($B$3="Default Settings",B13,IF($B$3="C1 Wildlife",C13,IF($B$3="C2 Birds in Flight",G13,IF($B$3="C3 Landscape",K13,""))))</x:f>
        <x:v>Case A (Auto)</x:v>
      </x:c>
      <x:c r="P13" s="47" t="str">
        <x:f>IF($C$3="Default Settings",B13,IF($C$3="C1 Wildlife",C13,IF($C$3="C2 Birds in Flight",G13,IF($C$3="C3 Landscape",K13,""))))</x:f>
        <x:v>Case A (Auto)</x:v>
      </x:c>
      <x:c r="Q13" s="47" t="str">
        <x:f>IF($G$3="Default Settings",B13,IF($G$3="C1 Wildlife",C13,IF($G$3="C2 Birds in Flight",G13,IF($G$3="C3 Landscape",K13,""))))</x:f>
        <x:v>Case A (Auto)</x:v>
      </x:c>
      <x:c r="R13" s="47" t="str">
        <x:f>IF($K$3="Default Settings",B13,IF($K$3="C1 Wildlife",C13,IF($K$3="C2 Birds in Flight",G13,IF($K$3="C3 Landscape",K13,""))))</x:f>
        <x:v>Case A (Auto)</x:v>
      </x:c>
    </x:row>
    <x:row r="14" hidden="0">
      <x:c r="A14" s="52" t="str">
        <x:v>AF Method</x:v>
      </x:c>
      <x:c r="B14" s="54" t="str">
        <x:v>Face + Tracking</x:v>
      </x:c>
      <x:c r="C14" s="65" t="str">
        <x:v>Face + Tracking</x:v>
      </x:c>
      <x:c r="D14" s="40" t="str">
        <x:v>Not started</x:v>
      </x:c>
      <x:c r="E14" s="40" t="str">
        <x:v>Not started</x:v>
      </x:c>
      <x:c r="F14" s="66" t="str"/>
      <x:c r="G14" s="65" t="str">
        <x:v>Face + Tracking</x:v>
      </x:c>
      <x:c r="H14" s="40" t="str">
        <x:v>Not started</x:v>
      </x:c>
      <x:c r="I14" s="40" t="str">
        <x:v>Not started</x:v>
      </x:c>
      <x:c r="J14" s="66" t="str"/>
      <x:c r="K14" s="65" t="str">
        <x:v>1-Point AF</x:v>
      </x:c>
      <x:c r="L14" s="40" t="str">
        <x:v>Not started</x:v>
      </x:c>
      <x:c r="M14" s="40" t="str">
        <x:v>Not started</x:v>
      </x:c>
      <x:c r="N14" s="66" t="str"/>
      <x:c r="O14" s="47" t="str">
        <x:f>IF($B$3="Default Settings",B14,IF($B$3="C1 Wildlife",C14,IF($B$3="C2 Birds in Flight",G14,IF($B$3="C3 Landscape",K14,""))))</x:f>
        <x:v>Face + Tracking</x:v>
      </x:c>
      <x:c r="P14" s="47" t="str">
        <x:f>IF($C$3="Default Settings",B14,IF($C$3="C1 Wildlife",C14,IF($C$3="C2 Birds in Flight",G14,IF($C$3="C3 Landscape",K14,""))))</x:f>
        <x:v>Face + Tracking</x:v>
      </x:c>
      <x:c r="Q14" s="47" t="str">
        <x:f>IF($G$3="Default Settings",B14,IF($G$3="C1 Wildlife",C14,IF($G$3="C2 Birds in Flight",G14,IF($G$3="C3 Landscape",K14,""))))</x:f>
        <x:v>Face + Tracking</x:v>
      </x:c>
      <x:c r="R14" s="47" t="str">
        <x:f>IF($K$3="Default Settings",B14,IF($K$3="C1 Wildlife",C14,IF($K$3="C2 Birds in Flight",G14,IF($K$3="C3 Landscape",K14,""))))</x:f>
        <x:v>Face + Tracking</x:v>
      </x:c>
    </x:row>
    <x:row r="15" hidden="0">
      <x:c r="A15" s="52" t="str">
        <x:v>Subject Detection</x:v>
      </x:c>
      <x:c r="B15" s="54" t="str">
        <x:v>Animals</x:v>
      </x:c>
      <x:c r="C15" s="65" t="str">
        <x:v>Animals</x:v>
      </x:c>
      <x:c r="D15" s="40" t="str">
        <x:v>Not started</x:v>
      </x:c>
      <x:c r="E15" s="40" t="str">
        <x:v>Not started</x:v>
      </x:c>
      <x:c r="F15" s="66" t="str"/>
      <x:c r="G15" s="65" t="str">
        <x:v>Animals</x:v>
      </x:c>
      <x:c r="H15" s="40" t="str">
        <x:v>Not started</x:v>
      </x:c>
      <x:c r="I15" s="40" t="str">
        <x:v>Not started</x:v>
      </x:c>
      <x:c r="J15" s="66" t="str"/>
      <x:c r="K15" s="65" t="str">
        <x:v>None</x:v>
      </x:c>
      <x:c r="L15" s="40" t="str">
        <x:v>Not started</x:v>
      </x:c>
      <x:c r="M15" s="40" t="str">
        <x:v>Not started</x:v>
      </x:c>
      <x:c r="N15" s="66" t="str"/>
      <x:c r="O15" s="47" t="str">
        <x:f>IF($B$3="Default Settings",B15,IF($B$3="C1 Wildlife",C15,IF($B$3="C2 Birds in Flight",G15,IF($B$3="C3 Landscape",K15,""))))</x:f>
        <x:v>Animals</x:v>
      </x:c>
      <x:c r="P15" s="47" t="str">
        <x:f>IF($C$3="Default Settings",B15,IF($C$3="C1 Wildlife",C15,IF($C$3="C2 Birds in Flight",G15,IF($C$3="C3 Landscape",K15,""))))</x:f>
        <x:v>Animals</x:v>
      </x:c>
      <x:c r="Q15" s="47" t="str">
        <x:f>IF($G$3="Default Settings",B15,IF($G$3="C1 Wildlife",C15,IF($G$3="C2 Birds in Flight",G15,IF($G$3="C3 Landscape",K15,""))))</x:f>
        <x:v>Animals</x:v>
      </x:c>
      <x:c r="R15" s="47" t="str">
        <x:f>IF($K$3="Default Settings",B15,IF($K$3="C1 Wildlife",C15,IF($K$3="C2 Birds in Flight",G15,IF($K$3="C3 Landscape",K15,""))))</x:f>
        <x:v>Animals</x:v>
      </x:c>
    </x:row>
    <x:row r="16" hidden="0">
      <x:c r="A16" s="52" t="str">
        <x:v>Eye Detection</x:v>
      </x:c>
      <x:c r="B16" s="54" t="str">
        <x:v>Enable</x:v>
      </x:c>
      <x:c r="C16" s="65" t="str">
        <x:v>Enable</x:v>
      </x:c>
      <x:c r="D16" s="40" t="str">
        <x:v>Not started</x:v>
      </x:c>
      <x:c r="E16" s="40" t="str">
        <x:v>Not started</x:v>
      </x:c>
      <x:c r="F16" s="66" t="str"/>
      <x:c r="G16" s="65" t="str">
        <x:v>Enable</x:v>
      </x:c>
      <x:c r="H16" s="40" t="str">
        <x:v>Not started</x:v>
      </x:c>
      <x:c r="I16" s="40" t="str">
        <x:v>Not started</x:v>
      </x:c>
      <x:c r="J16" s="66" t="str"/>
      <x:c r="K16" s="65" t="str">
        <x:v>Disable</x:v>
      </x:c>
      <x:c r="L16" s="40" t="str">
        <x:v>Not started</x:v>
      </x:c>
      <x:c r="M16" s="40" t="str">
        <x:v>Not started</x:v>
      </x:c>
      <x:c r="N16" s="66" t="str"/>
      <x:c r="O16" s="47" t="str">
        <x:f>IF($B$3="Default Settings",B16,IF($B$3="C1 Wildlife",C16,IF($B$3="C2 Birds in Flight",G16,IF($B$3="C3 Landscape",K16,""))))</x:f>
        <x:v>Enable</x:v>
      </x:c>
      <x:c r="P16" s="47" t="str">
        <x:f>IF($C$3="Default Settings",B16,IF($C$3="C1 Wildlife",C16,IF($C$3="C2 Birds in Flight",G16,IF($C$3="C3 Landscape",K16,""))))</x:f>
        <x:v>Enable</x:v>
      </x:c>
      <x:c r="Q16" s="47" t="str">
        <x:f>IF($G$3="Default Settings",B16,IF($G$3="C1 Wildlife",C16,IF($G$3="C2 Birds in Flight",G16,IF($G$3="C3 Landscape",K16,""))))</x:f>
        <x:v>Enable</x:v>
      </x:c>
      <x:c r="R16" s="47" t="str">
        <x:f>IF($K$3="Default Settings",B16,IF($K$3="C1 Wildlife",C16,IF($K$3="C2 Birds in Flight",G16,IF($K$3="C3 Landscape",K16,""))))</x:f>
        <x:v>Enable</x:v>
      </x:c>
    </x:row>
    <x:row r="17" hidden="0">
      <x:c r="A17" s="52" t="str">
        <x:v>Drive Mode</x:v>
      </x:c>
      <x:c r="B17" s="54" t="str">
        <x:v>High Speed Continuous</x:v>
      </x:c>
      <x:c r="C17" s="65" t="str">
        <x:v>High Speed Continuous</x:v>
      </x:c>
      <x:c r="D17" s="40" t="str">
        <x:v>Not started</x:v>
      </x:c>
      <x:c r="E17" s="40" t="str">
        <x:v>Not started</x:v>
      </x:c>
      <x:c r="F17" s="66" t="str"/>
      <x:c r="G17" s="65" t="str">
        <x:v>High Speed Continuous+</x:v>
      </x:c>
      <x:c r="H17" s="40" t="str">
        <x:v>Not started</x:v>
      </x:c>
      <x:c r="I17" s="40" t="str">
        <x:v>Not started</x:v>
      </x:c>
      <x:c r="J17" s="66" t="str"/>
      <x:c r="K17" s="65" t="str">
        <x:v>Single Shot</x:v>
      </x:c>
      <x:c r="L17" s="40" t="str">
        <x:v>Not started</x:v>
      </x:c>
      <x:c r="M17" s="40" t="str">
        <x:v>Not started</x:v>
      </x:c>
      <x:c r="N17" s="66" t="str"/>
      <x:c r="O17" s="47" t="str">
        <x:f>IF($B$3="Default Settings",B17,IF($B$3="C1 Wildlife",C17,IF($B$3="C2 Birds in Flight",G17,IF($B$3="C3 Landscape",K17,""))))</x:f>
        <x:v>High Speed Continuous</x:v>
      </x:c>
      <x:c r="P17" s="47" t="str">
        <x:f>IF($C$3="Default Settings",B17,IF($C$3="C1 Wildlife",C17,IF($C$3="C2 Birds in Flight",G17,IF($C$3="C3 Landscape",K17,""))))</x:f>
        <x:v>High Speed Continuous</x:v>
      </x:c>
      <x:c r="Q17" s="47" t="str">
        <x:f>IF($G$3="Default Settings",B17,IF($G$3="C1 Wildlife",C17,IF($G$3="C2 Birds in Flight",G17,IF($G$3="C3 Landscape",K17,""))))</x:f>
        <x:v>High Speed Continuous</x:v>
      </x:c>
      <x:c r="R17" s="47" t="str">
        <x:f>IF($K$3="Default Settings",B17,IF($K$3="C1 Wildlife",C17,IF($K$3="C2 Birds in Flight",G17,IF($K$3="C3 Landscape",K17,""))))</x:f>
        <x:v>High Speed Continuous</x:v>
      </x:c>
    </x:row>
    <x:row r="18" hidden="0">
      <x:c r="A18" s="52" t="str">
        <x:v>Shutter Type</x:v>
      </x:c>
      <x:c r="B18" s="54" t="str">
        <x:v>EFCS</x:v>
      </x:c>
      <x:c r="C18" s="65" t="str">
        <x:v>EFCS</x:v>
      </x:c>
      <x:c r="D18" s="40" t="str">
        <x:v>Not started</x:v>
      </x:c>
      <x:c r="E18" s="40" t="str">
        <x:v>Not started</x:v>
      </x:c>
      <x:c r="F18" s="66" t="str"/>
      <x:c r="G18" s="65" t="str">
        <x:v>Mechanical</x:v>
      </x:c>
      <x:c r="H18" s="40" t="str">
        <x:v>Not started</x:v>
      </x:c>
      <x:c r="I18" s="40" t="str">
        <x:v>Not started</x:v>
      </x:c>
      <x:c r="J18" s="66" t="str"/>
      <x:c r="K18" s="65" t="str">
        <x:v>EFCS</x:v>
      </x:c>
      <x:c r="L18" s="40" t="str">
        <x:v>Not started</x:v>
      </x:c>
      <x:c r="M18" s="40" t="str">
        <x:v>Not started</x:v>
      </x:c>
      <x:c r="N18" s="66" t="str"/>
      <x:c r="O18" s="47" t="str">
        <x:f>IF($B$3="Default Settings",B18,IF($B$3="C1 Wildlife",C18,IF($B$3="C2 Birds in Flight",G18,IF($B$3="C3 Landscape",K18,""))))</x:f>
        <x:v>EFCS</x:v>
      </x:c>
      <x:c r="P18" s="47" t="str">
        <x:f>IF($C$3="Default Settings",B18,IF($C$3="C1 Wildlife",C18,IF($C$3="C2 Birds in Flight",G18,IF($C$3="C3 Landscape",K18,""))))</x:f>
        <x:v>EFCS</x:v>
      </x:c>
      <x:c r="Q18" s="47" t="str">
        <x:f>IF($G$3="Default Settings",B18,IF($G$3="C1 Wildlife",C18,IF($G$3="C2 Birds in Flight",G18,IF($G$3="C3 Landscape",K18,""))))</x:f>
        <x:v>EFCS</x:v>
      </x:c>
      <x:c r="R18" s="47" t="str">
        <x:f>IF($K$3="Default Settings",B18,IF($K$3="C1 Wildlife",C18,IF($K$3="C2 Birds in Flight",G18,IF($K$3="C3 Landscape",K18,""))))</x:f>
        <x:v>EFCS</x:v>
      </x:c>
    </x:row>
    <x:row r="19" hidden="0">
      <x:c r="A19" s="52" t="str">
        <x:v>Image Stabilizer Mode</x:v>
      </x:c>
      <x:c r="B19" s="54" t="str">
        <x:v>Mode 1</x:v>
      </x:c>
      <x:c r="C19" s="65" t="str">
        <x:v>Mode 1</x:v>
      </x:c>
      <x:c r="D19" s="40" t="str">
        <x:v>Not started</x:v>
      </x:c>
      <x:c r="E19" s="40" t="str">
        <x:v>Not started</x:v>
      </x:c>
      <x:c r="F19" s="66" t="str"/>
      <x:c r="G19" s="65" t="str">
        <x:v>Mode 3</x:v>
      </x:c>
      <x:c r="H19" s="40" t="str">
        <x:v>Not started</x:v>
      </x:c>
      <x:c r="I19" s="40" t="str">
        <x:v>Not started</x:v>
      </x:c>
      <x:c r="J19" s="66" t="str"/>
      <x:c r="K19" s="65" t="str">
        <x:v>Mode 1</x:v>
      </x:c>
      <x:c r="L19" s="40" t="str">
        <x:v>Not started</x:v>
      </x:c>
      <x:c r="M19" s="40" t="str">
        <x:v>Not started</x:v>
      </x:c>
      <x:c r="N19" s="66" t="str"/>
      <x:c r="O19" s="47" t="str">
        <x:f>IF($B$3="Default Settings",B19,IF($B$3="C1 Wildlife",C19,IF($B$3="C2 Birds in Flight",G19,IF($B$3="C3 Landscape",K19,""))))</x:f>
        <x:v>Mode 1</x:v>
      </x:c>
      <x:c r="P19" s="47" t="str">
        <x:f>IF($C$3="Default Settings",B19,IF($C$3="C1 Wildlife",C19,IF($C$3="C2 Birds in Flight",G19,IF($C$3="C3 Landscape",K19,""))))</x:f>
        <x:v>Mode 1</x:v>
      </x:c>
      <x:c r="Q19" s="47" t="str">
        <x:f>IF($G$3="Default Settings",B19,IF($G$3="C1 Wildlife",C19,IF($G$3="C2 Birds in Flight",G19,IF($G$3="C3 Landscape",K19,""))))</x:f>
        <x:v>Mode 1</x:v>
      </x:c>
      <x:c r="R19" s="47" t="str">
        <x:f>IF($K$3="Default Settings",B19,IF($K$3="C1 Wildlife",C19,IF($K$3="C2 Birds in Flight",G19,IF($K$3="C3 Landscape",K19,""))))</x:f>
        <x:v>Mode 1</x:v>
      </x:c>
    </x:row>
    <x:row r="20" hidden="0">
      <x:c r="A20" s="52" t="str">
        <x:v>IBIS</x:v>
      </x:c>
      <x:c r="B20" s="54" t="str">
        <x:v>On</x:v>
      </x:c>
      <x:c r="C20" s="65" t="str">
        <x:v>On</x:v>
      </x:c>
      <x:c r="D20" s="40" t="str">
        <x:v>Not started</x:v>
      </x:c>
      <x:c r="E20" s="40" t="str">
        <x:v>Not started</x:v>
      </x:c>
      <x:c r="F20" s="66" t="str"/>
      <x:c r="G20" s="65" t="str">
        <x:v>On</x:v>
      </x:c>
      <x:c r="H20" s="40" t="str">
        <x:v>Not started</x:v>
      </x:c>
      <x:c r="I20" s="40" t="str">
        <x:v>Not started</x:v>
      </x:c>
      <x:c r="J20" s="66" t="str"/>
      <x:c r="K20" s="65" t="str">
        <x:v>On</x:v>
      </x:c>
      <x:c r="L20" s="40" t="str">
        <x:v>Not started</x:v>
      </x:c>
      <x:c r="M20" s="40" t="str">
        <x:v>Not started</x:v>
      </x:c>
      <x:c r="N20" s="66" t="str"/>
      <x:c r="O20" s="47" t="str">
        <x:f>IF($B$3="Default Settings",B20,IF($B$3="C1 Wildlife",C20,IF($B$3="C2 Birds in Flight",G20,IF($B$3="C3 Landscape",K20,""))))</x:f>
        <x:v>On</x:v>
      </x:c>
      <x:c r="P20" s="47" t="str">
        <x:f>IF($C$3="Default Settings",B20,IF($C$3="C1 Wildlife",C20,IF($C$3="C2 Birds in Flight",G20,IF($C$3="C3 Landscape",K20,""))))</x:f>
        <x:v>On</x:v>
      </x:c>
      <x:c r="Q20" s="47" t="str">
        <x:f>IF($G$3="Default Settings",B20,IF($G$3="C1 Wildlife",C20,IF($G$3="C2 Birds in Flight",G20,IF($G$3="C3 Landscape",K20,""))))</x:f>
        <x:v>On</x:v>
      </x:c>
      <x:c r="R20" s="47" t="str">
        <x:f>IF($K$3="Default Settings",B20,IF($K$3="C1 Wildlife",C20,IF($K$3="C2 Birds in Flight",G20,IF($K$3="C3 Landscape",K20,""))))</x:f>
        <x:v>On</x:v>
      </x:c>
    </x:row>
    <x:row r="21" hidden="0">
      <x:c r="A21" s="52" t="str">
        <x:v>Focus Bracketing</x:v>
      </x:c>
      <x:c r="B21" s="54" t="str">
        <x:v>Disable</x:v>
      </x:c>
      <x:c r="C21" s="65" t="str">
        <x:v>Disable</x:v>
      </x:c>
      <x:c r="D21" s="40" t="str">
        <x:v>Not started</x:v>
      </x:c>
      <x:c r="E21" s="40" t="str">
        <x:v>Not started</x:v>
      </x:c>
      <x:c r="F21" s="66" t="str"/>
      <x:c r="G21" s="65" t="str">
        <x:v>Disable</x:v>
      </x:c>
      <x:c r="H21" s="40" t="str">
        <x:v>Not started</x:v>
      </x:c>
      <x:c r="I21" s="40" t="str">
        <x:v>Not started</x:v>
      </x:c>
      <x:c r="J21" s="66" t="str"/>
      <x:c r="K21" s="65" t="str">
        <x:v>Disable</x:v>
      </x:c>
      <x:c r="L21" s="40" t="str">
        <x:v>Not started</x:v>
      </x:c>
      <x:c r="M21" s="40" t="str">
        <x:v>Not started</x:v>
      </x:c>
      <x:c r="N21" s="66" t="str"/>
      <x:c r="O21" s="47" t="str">
        <x:f>IF($B$3="Default Settings",B21,IF($B$3="C1 Wildlife",C21,IF($B$3="C2 Birds in Flight",G21,IF($B$3="C3 Landscape",K21,""))))</x:f>
        <x:v>Disable</x:v>
      </x:c>
      <x:c r="P21" s="47" t="str">
        <x:f>IF($C$3="Default Settings",B21,IF($C$3="C1 Wildlife",C21,IF($C$3="C2 Birds in Flight",G21,IF($C$3="C3 Landscape",K21,""))))</x:f>
        <x:v>Disable</x:v>
      </x:c>
      <x:c r="Q21" s="47" t="str">
        <x:f>IF($G$3="Default Settings",B21,IF($G$3="C1 Wildlife",C21,IF($G$3="C2 Birds in Flight",G21,IF($G$3="C3 Landscape",K21,""))))</x:f>
        <x:v>Disable</x:v>
      </x:c>
      <x:c r="R21" s="47" t="str">
        <x:f>IF($K$3="Default Settings",B21,IF($K$3="C1 Wildlife",C21,IF($K$3="C2 Birds in Flight",G21,IF($K$3="C3 Landscape",K21,""))))</x:f>
        <x:v>Disable</x:v>
      </x:c>
    </x:row>
    <x:row r="22" hidden="0">
      <x:c r="A22" s="53" t="str">
        <x:v>Lens IS switch</x:v>
      </x:c>
      <x:c r="B22" s="55" t="str">
        <x:v>On</x:v>
      </x:c>
      <x:c r="C22" s="67" t="str">
        <x:v>On</x:v>
      </x:c>
      <x:c r="D22" s="68" t="str">
        <x:v>Not started</x:v>
      </x:c>
      <x:c r="E22" s="68" t="str">
        <x:v>Not started</x:v>
      </x:c>
      <x:c r="F22" s="69" t="str"/>
      <x:c r="G22" s="67" t="str">
        <x:v>On</x:v>
      </x:c>
      <x:c r="H22" s="68" t="str">
        <x:v>Not started</x:v>
      </x:c>
      <x:c r="I22" s="68" t="str">
        <x:v>Not started</x:v>
      </x:c>
      <x:c r="J22" s="69" t="str"/>
      <x:c r="K22" s="67" t="str">
        <x:v>On</x:v>
      </x:c>
      <x:c r="L22" s="68" t="str">
        <x:v>Not started</x:v>
      </x:c>
      <x:c r="M22" s="68" t="str">
        <x:v>Not started</x:v>
      </x:c>
      <x:c r="N22" s="69" t="str"/>
      <x:c r="O22" s="47" t="str">
        <x:f>IF($B$3="Default Settings",B22,IF($B$3="C1 Wildlife",C22,IF($B$3="C2 Birds in Flight",G22,IF($B$3="C3 Landscape",K22,""))))</x:f>
        <x:v>On</x:v>
      </x:c>
      <x:c r="P22" s="47" t="str">
        <x:f>IF($C$3="Default Settings",B22,IF($C$3="C1 Wildlife",C22,IF($C$3="C2 Birds in Flight",G22,IF($C$3="C3 Landscape",K22,""))))</x:f>
        <x:v>On</x:v>
      </x:c>
      <x:c r="Q22" s="47" t="str">
        <x:f>IF($G$3="Default Settings",B22,IF($G$3="C1 Wildlife",C22,IF($G$3="C2 Birds in Flight",G22,IF($G$3="C3 Landscape",K22,""))))</x:f>
        <x:v>On</x:v>
      </x:c>
      <x:c r="R22" s="47" t="str">
        <x:f>IF($K$3="Default Settings",B22,IF($K$3="C1 Wildlife",C22,IF($K$3="C2 Birds in Flight",G22,IF($K$3="C3 Landscape",K22,""))))</x:f>
        <x:v>On</x:v>
      </x:c>
    </x:row>
  </x:sheetData>
  <x:mergeCells>
    <x:mergeCell ref="A1:N1"/>
    <x:mergeCell ref="A2:N2"/>
  </x:mergeCells>
  <x:conditionalFormatting sqref="B5:B22">
    <x:cfRule type="cellIs" dxfId="5" priority="1" operator="notEqual">
      <x:formula>$O5</x:formula>
    </x:cfRule>
  </x:conditionalFormatting>
  <x:conditionalFormatting sqref="C5:C22">
    <x:cfRule type="cellIs" dxfId="6" priority="2" operator="notEqual">
      <x:formula>$P5</x:formula>
    </x:cfRule>
  </x:conditionalFormatting>
  <x:conditionalFormatting sqref="G5:G22">
    <x:cfRule type="cellIs" dxfId="7" priority="3" operator="notEqual">
      <x:formula>$Q5</x:formula>
    </x:cfRule>
  </x:conditionalFormatting>
  <x:conditionalFormatting sqref="K5:K22">
    <x:cfRule type="cellIs" dxfId="8" priority="4" operator="notEqual">
      <x:formula>$R5</x:formula>
    </x:cfRule>
  </x:conditionalFormatting>
  <x:dataValidations count="7">
    <x:dataValidation type="list" sqref="B3">
      <x:formula1>"Default Settings,C1 Wildlife,C2 Birds in Flight,C3 Landscape"</x:formula1>
    </x:dataValidation>
    <x:dataValidation type="list" sqref="C3">
      <x:formula1>"Default Settings,C1 Wildlife,C2 Birds in Flight,C3 Landscape"</x:formula1>
    </x:dataValidation>
    <x:dataValidation type="list" sqref="G3">
      <x:formula1>"Default Settings,C1 Wildlife,C2 Birds in Flight,C3 Landscape"</x:formula1>
    </x:dataValidation>
    <x:dataValidation type="list" sqref="K3">
      <x:formula1>"Default Settings,C1 Wildlife,C2 Birds in Flight,C3 Landscape"</x:formula1>
    </x:dataValidation>
    <x:dataValidation type="list" sqref="D5:E22">
      <x:formula1>"Not started,Pass,Fail,Needs retest,Not applicable"</x:formula1>
    </x:dataValidation>
    <x:dataValidation type="list" sqref="H5:I22">
      <x:formula1>"Not started,Pass,Fail,Needs retest,Not applicable"</x:formula1>
    </x:dataValidation>
    <x:dataValidation type="list" sqref="L5:M22">
      <x:formula1>"Not started,Pass,Fail,Needs retest,Not applicable"</x:formula1>
    </x:dataValidation>
  </x:dataValidations>
  <x:pageMargins left="0.7" right="0.7" top="0.75" bottom="0.75" header="0.3" footer="0.3"/>
  <x:tableParts count="1">
    <x:tablePart ns1:id="Ra8a2c5e16f8743df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5"/>
  <x:cols>
    <x:col min="1" max="1" width="14.220000267028809" hidden="0" customWidth="1"/>
    <x:col min="2" max="2" width="12.4399995803833" hidden="0" customWidth="1"/>
    <x:col min="3" max="3" width="32" hidden="0" customWidth="1"/>
    <x:col min="4" max="4" width="12.4399995803833" hidden="0" customWidth="1"/>
    <x:col min="5" max="5" width="17.780000686645508" hidden="0" customWidth="1"/>
    <x:col min="6" max="6" width="21.329999923706055" hidden="0" customWidth="1"/>
    <x:col min="7" max="7" width="21.329999923706055" hidden="0" customWidth="1"/>
    <x:col min="8" max="8" width="19.559999465942383" hidden="0" customWidth="1"/>
    <x:col min="9" max="9" width="17.780000686645508" hidden="0" customWidth="1"/>
    <x:col min="10" max="10" width="32" hidden="0" customWidth="1"/>
    <x:col min="11" max="11" width="32" hidden="0" customWidth="1"/>
    <x:col min="12" max="12" width="33.779998779296875" hidden="0" customWidth="1"/>
  </x:cols>
  <x:sheetData>
    <x:row r="1">
      <x:c r="A1" s="34" t="str">
        <x:v>Verification Sessions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</x:row>
    <x:row r="2">
      <x:c r="A2" s="38" t="str">
        <x:v>Use one row per camera session. Reference the Session ID from Checklist rows so evidence and observations remain traceable.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</x:row>
    <x:row r="3" ht="12" customHeight="1"/>
    <x:row r="4" hidden="0">
      <x:c r="A4" s="5" t="str">
        <x:v>Session ID</x:v>
      </x:c>
      <x:c r="B4" s="5" t="str">
        <x:v>Date</x:v>
      </x:c>
      <x:c r="C4" s="5" t="str">
        <x:v>Goal</x:v>
      </x:c>
      <x:c r="D4" s="5" t="str">
        <x:v>Firmware</x:v>
      </x:c>
      <x:c r="E4" s="5" t="str">
        <x:v>Battery / Charge</x:v>
      </x:c>
      <x:c r="F4" s="5" t="str">
        <x:v>Lens</x:v>
      </x:c>
      <x:c r="G4" s="5" t="str">
        <x:v>Flash / Trigger</x:v>
      </x:c>
      <x:c r="H4" s="5" t="str">
        <x:v>Starting Backup</x:v>
      </x:c>
      <x:c r="I4" s="5" t="str">
        <x:v>Image Range</x:v>
      </x:c>
      <x:c r="J4" s="5" t="str">
        <x:v>Outcome</x:v>
      </x:c>
      <x:c r="K4" s="5" t="str">
        <x:v>Next Session</x:v>
      </x:c>
      <x:c r="L4" s="5" t="str">
        <x:v>Notes</x:v>
      </x:c>
    </x:row>
    <x:row r="5" hidden="0">
      <x:c r="A5" s="40" t="str"/>
      <x:c r="B5" s="70" t="str"/>
      <x:c r="C5" s="40" t="str"/>
      <x:c r="D5" s="40" t="str"/>
      <x:c r="E5" s="40" t="str"/>
      <x:c r="F5" s="40" t="str"/>
      <x:c r="G5" s="40" t="str"/>
      <x:c r="H5" s="40" t="str"/>
      <x:c r="I5" s="40" t="str"/>
      <x:c r="J5" s="40" t="str"/>
      <x:c r="K5" s="40" t="str"/>
      <x:c r="L5" s="40" t="str"/>
    </x:row>
    <x:row r="6" hidden="0">
      <x:c r="A6" s="40" t="str"/>
      <x:c r="B6" s="70" t="str"/>
      <x:c r="C6" s="40" t="str"/>
      <x:c r="D6" s="40" t="str"/>
      <x:c r="E6" s="40" t="str"/>
      <x:c r="F6" s="40" t="str"/>
      <x:c r="G6" s="40" t="str"/>
      <x:c r="H6" s="40" t="str"/>
      <x:c r="I6" s="40" t="str"/>
      <x:c r="J6" s="40" t="str"/>
      <x:c r="K6" s="40" t="str"/>
      <x:c r="L6" s="40" t="str"/>
    </x:row>
    <x:row r="7" hidden="0">
      <x:c r="A7" s="40" t="str"/>
      <x:c r="B7" s="70" t="str"/>
      <x:c r="C7" s="40" t="str"/>
      <x:c r="D7" s="40" t="str"/>
      <x:c r="E7" s="40" t="str"/>
      <x:c r="F7" s="40" t="str"/>
      <x:c r="G7" s="40" t="str"/>
      <x:c r="H7" s="40" t="str"/>
      <x:c r="I7" s="40" t="str"/>
      <x:c r="J7" s="40" t="str"/>
      <x:c r="K7" s="40" t="str"/>
      <x:c r="L7" s="40" t="str"/>
    </x:row>
    <x:row r="8" hidden="0">
      <x:c r="A8" s="40" t="str"/>
      <x:c r="B8" s="70" t="str"/>
      <x:c r="C8" s="40" t="str"/>
      <x:c r="D8" s="40" t="str"/>
      <x:c r="E8" s="40" t="str"/>
      <x:c r="F8" s="40" t="str"/>
      <x:c r="G8" s="40" t="str"/>
      <x:c r="H8" s="40" t="str"/>
      <x:c r="I8" s="40" t="str"/>
      <x:c r="J8" s="40" t="str"/>
      <x:c r="K8" s="40" t="str"/>
      <x:c r="L8" s="40" t="str"/>
    </x:row>
    <x:row r="9" hidden="0">
      <x:c r="A9" s="40" t="str"/>
      <x:c r="B9" s="70" t="str"/>
      <x:c r="C9" s="40" t="str"/>
      <x:c r="D9" s="40" t="str"/>
      <x:c r="E9" s="40" t="str"/>
      <x:c r="F9" s="40" t="str"/>
      <x:c r="G9" s="40" t="str"/>
      <x:c r="H9" s="40" t="str"/>
      <x:c r="I9" s="40" t="str"/>
      <x:c r="J9" s="40" t="str"/>
      <x:c r="K9" s="40" t="str"/>
      <x:c r="L9" s="40" t="str"/>
    </x:row>
    <x:row r="10" hidden="0">
      <x:c r="A10" s="40" t="str"/>
      <x:c r="B10" s="70" t="str"/>
      <x:c r="C10" s="40" t="str"/>
      <x:c r="D10" s="40" t="str"/>
      <x:c r="E10" s="40" t="str"/>
      <x:c r="F10" s="40" t="str"/>
      <x:c r="G10" s="40" t="str"/>
      <x:c r="H10" s="40" t="str"/>
      <x:c r="I10" s="40" t="str"/>
      <x:c r="J10" s="40" t="str"/>
      <x:c r="K10" s="40" t="str"/>
      <x:c r="L10" s="40" t="str"/>
    </x:row>
    <x:row r="11" hidden="0">
      <x:c r="A11" s="40" t="str"/>
      <x:c r="B11" s="70" t="str"/>
      <x:c r="C11" s="40" t="str"/>
      <x:c r="D11" s="40" t="str"/>
      <x:c r="E11" s="40" t="str"/>
      <x:c r="F11" s="40" t="str"/>
      <x:c r="G11" s="40" t="str"/>
      <x:c r="H11" s="40" t="str"/>
      <x:c r="I11" s="40" t="str"/>
      <x:c r="J11" s="40" t="str"/>
      <x:c r="K11" s="40" t="str"/>
      <x:c r="L11" s="40" t="str"/>
    </x:row>
    <x:row r="12" hidden="0">
      <x:c r="A12" s="40" t="str"/>
      <x:c r="B12" s="70" t="str"/>
      <x:c r="C12" s="40" t="str"/>
      <x:c r="D12" s="40" t="str"/>
      <x:c r="E12" s="40" t="str"/>
      <x:c r="F12" s="40" t="str"/>
      <x:c r="G12" s="40" t="str"/>
      <x:c r="H12" s="40" t="str"/>
      <x:c r="I12" s="40" t="str"/>
      <x:c r="J12" s="40" t="str"/>
      <x:c r="K12" s="40" t="str"/>
      <x:c r="L12" s="40" t="str"/>
    </x:row>
    <x:row r="13" hidden="0">
      <x:c r="A13" s="40" t="str"/>
      <x:c r="B13" s="70" t="str"/>
      <x:c r="C13" s="40" t="str"/>
      <x:c r="D13" s="40" t="str"/>
      <x:c r="E13" s="40" t="str"/>
      <x:c r="F13" s="40" t="str"/>
      <x:c r="G13" s="40" t="str"/>
      <x:c r="H13" s="40" t="str"/>
      <x:c r="I13" s="40" t="str"/>
      <x:c r="J13" s="40" t="str"/>
      <x:c r="K13" s="40" t="str"/>
      <x:c r="L13" s="40" t="str"/>
    </x:row>
    <x:row r="14" hidden="0">
      <x:c r="A14" s="40" t="str"/>
      <x:c r="B14" s="70" t="str"/>
      <x:c r="C14" s="40" t="str"/>
      <x:c r="D14" s="40" t="str"/>
      <x:c r="E14" s="40" t="str"/>
      <x:c r="F14" s="40" t="str"/>
      <x:c r="G14" s="40" t="str"/>
      <x:c r="H14" s="40" t="str"/>
      <x:c r="I14" s="40" t="str"/>
      <x:c r="J14" s="40" t="str"/>
      <x:c r="K14" s="40" t="str"/>
      <x:c r="L14" s="40" t="str"/>
    </x:row>
    <x:row r="15" hidden="0">
      <x:c r="A15" s="40" t="str"/>
      <x:c r="B15" s="70" t="str"/>
      <x:c r="C15" s="40" t="str"/>
      <x:c r="D15" s="40" t="str"/>
      <x:c r="E15" s="40" t="str"/>
      <x:c r="F15" s="40" t="str"/>
      <x:c r="G15" s="40" t="str"/>
      <x:c r="H15" s="40" t="str"/>
      <x:c r="I15" s="40" t="str"/>
      <x:c r="J15" s="40" t="str"/>
      <x:c r="K15" s="40" t="str"/>
      <x:c r="L15" s="40" t="str"/>
    </x:row>
    <x:row r="16" hidden="0">
      <x:c r="A16" s="40" t="str"/>
      <x:c r="B16" s="70" t="str"/>
      <x:c r="C16" s="40" t="str"/>
      <x:c r="D16" s="40" t="str"/>
      <x:c r="E16" s="40" t="str"/>
      <x:c r="F16" s="40" t="str"/>
      <x:c r="G16" s="40" t="str"/>
      <x:c r="H16" s="40" t="str"/>
      <x:c r="I16" s="40" t="str"/>
      <x:c r="J16" s="40" t="str"/>
      <x:c r="K16" s="40" t="str"/>
      <x:c r="L16" s="40" t="str"/>
    </x:row>
    <x:row r="17" hidden="0">
      <x:c r="A17" s="40" t="str"/>
      <x:c r="B17" s="70" t="str"/>
      <x:c r="C17" s="40" t="str"/>
      <x:c r="D17" s="40" t="str"/>
      <x:c r="E17" s="40" t="str"/>
      <x:c r="F17" s="40" t="str"/>
      <x:c r="G17" s="40" t="str"/>
      <x:c r="H17" s="40" t="str"/>
      <x:c r="I17" s="40" t="str"/>
      <x:c r="J17" s="40" t="str"/>
      <x:c r="K17" s="40" t="str"/>
      <x:c r="L17" s="40" t="str"/>
    </x:row>
    <x:row r="18" hidden="0">
      <x:c r="A18" s="40" t="str"/>
      <x:c r="B18" s="70" t="str"/>
      <x:c r="C18" s="40" t="str"/>
      <x:c r="D18" s="40" t="str"/>
      <x:c r="E18" s="40" t="str"/>
      <x:c r="F18" s="40" t="str"/>
      <x:c r="G18" s="40" t="str"/>
      <x:c r="H18" s="40" t="str"/>
      <x:c r="I18" s="40" t="str"/>
      <x:c r="J18" s="40" t="str"/>
      <x:c r="K18" s="40" t="str"/>
      <x:c r="L18" s="40" t="str"/>
    </x:row>
    <x:row r="19" hidden="0">
      <x:c r="A19" s="40" t="str"/>
      <x:c r="B19" s="70" t="str"/>
      <x:c r="C19" s="40" t="str"/>
      <x:c r="D19" s="40" t="str"/>
      <x:c r="E19" s="40" t="str"/>
      <x:c r="F19" s="40" t="str"/>
      <x:c r="G19" s="40" t="str"/>
      <x:c r="H19" s="40" t="str"/>
      <x:c r="I19" s="40" t="str"/>
      <x:c r="J19" s="40" t="str"/>
      <x:c r="K19" s="40" t="str"/>
      <x:c r="L19" s="40" t="str"/>
    </x:row>
    <x:row r="20" hidden="0">
      <x:c r="A20" s="40" t="str"/>
      <x:c r="B20" s="70" t="str"/>
      <x:c r="C20" s="40" t="str"/>
      <x:c r="D20" s="40" t="str"/>
      <x:c r="E20" s="40" t="str"/>
      <x:c r="F20" s="40" t="str"/>
      <x:c r="G20" s="40" t="str"/>
      <x:c r="H20" s="40" t="str"/>
      <x:c r="I20" s="40" t="str"/>
      <x:c r="J20" s="40" t="str"/>
      <x:c r="K20" s="40" t="str"/>
      <x:c r="L20" s="40" t="str"/>
    </x:row>
    <x:row r="21" hidden="0">
      <x:c r="A21" s="40" t="str"/>
      <x:c r="B21" s="70" t="str"/>
      <x:c r="C21" s="40" t="str"/>
      <x:c r="D21" s="40" t="str"/>
      <x:c r="E21" s="40" t="str"/>
      <x:c r="F21" s="40" t="str"/>
      <x:c r="G21" s="40" t="str"/>
      <x:c r="H21" s="40" t="str"/>
      <x:c r="I21" s="40" t="str"/>
      <x:c r="J21" s="40" t="str"/>
      <x:c r="K21" s="40" t="str"/>
      <x:c r="L21" s="40" t="str"/>
    </x:row>
    <x:row r="22" hidden="0">
      <x:c r="A22" s="40" t="str"/>
      <x:c r="B22" s="70" t="str"/>
      <x:c r="C22" s="40" t="str"/>
      <x:c r="D22" s="40" t="str"/>
      <x:c r="E22" s="40" t="str"/>
      <x:c r="F22" s="40" t="str"/>
      <x:c r="G22" s="40" t="str"/>
      <x:c r="H22" s="40" t="str"/>
      <x:c r="I22" s="40" t="str"/>
      <x:c r="J22" s="40" t="str"/>
      <x:c r="K22" s="40" t="str"/>
      <x:c r="L22" s="40" t="str"/>
    </x:row>
    <x:row r="23" hidden="0">
      <x:c r="A23" s="40" t="str"/>
      <x:c r="B23" s="70" t="str"/>
      <x:c r="C23" s="40" t="str"/>
      <x:c r="D23" s="40" t="str"/>
      <x:c r="E23" s="40" t="str"/>
      <x:c r="F23" s="40" t="str"/>
      <x:c r="G23" s="40" t="str"/>
      <x:c r="H23" s="40" t="str"/>
      <x:c r="I23" s="40" t="str"/>
      <x:c r="J23" s="40" t="str"/>
      <x:c r="K23" s="40" t="str"/>
      <x:c r="L23" s="40" t="str"/>
    </x:row>
    <x:row r="24" hidden="0">
      <x:c r="A24" s="40" t="str"/>
      <x:c r="B24" s="70" t="str"/>
      <x:c r="C24" s="40" t="str"/>
      <x:c r="D24" s="40" t="str"/>
      <x:c r="E24" s="40" t="str"/>
      <x:c r="F24" s="40" t="str"/>
      <x:c r="G24" s="40" t="str"/>
      <x:c r="H24" s="40" t="str"/>
      <x:c r="I24" s="40" t="str"/>
      <x:c r="J24" s="40" t="str"/>
      <x:c r="K24" s="40" t="str"/>
      <x:c r="L24" s="40" t="str"/>
    </x:row>
  </x:sheetData>
  <x:mergeCells>
    <x:mergeCell ref="A1:L1"/>
    <x:mergeCell ref="A2:L2"/>
  </x:mergeCells>
  <x:pageMargins left="0.7" right="0.7" top="0.75" bottom="0.75" header="0.3" footer="0.3"/>
  <x:tableParts count="1">
    <x:tablePart ns1:id="R2462fbfcaf824ac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31" hidden="0" customWidth="1"/>
    <x:col min="3" max="3" width="31" hidden="0" customWidth="1"/>
    <x:col min="4" max="4" width="31" hidden="0" customWidth="1"/>
    <x:col min="5" max="5" width="31" hidden="0" customWidth="1"/>
  </x:cols>
  <x:sheetData>
    <x:row r="1">
      <x:c r="A1" s="5" t="str">
        <x:v>Main Status</x:v>
      </x:c>
      <x:c r="B1" s="5" t="str">
        <x:v>Evidence Class</x:v>
      </x:c>
      <x:c r="C1" s="5" t="str">
        <x:v>Yes / No</x:v>
      </x:c>
      <x:c r="D1" s="5" t="str">
        <x:v>Registration Result</x:v>
      </x:c>
      <x:c r="E1" s="5" t="str">
        <x:v>Comparison Target</x:v>
      </x:c>
    </x:row>
    <x:row r="2">
      <x:c r="A2" s="7" t="str">
        <x:v>Not started</x:v>
      </x:c>
      <x:c r="B2" s="7" t="str">
        <x:v>Approved target pending verification</x:v>
      </x:c>
      <x:c r="C2" s="7" t="str">
        <x:v>Yes</x:v>
      </x:c>
      <x:c r="D2" s="7" t="str">
        <x:v>Not started</x:v>
      </x:c>
      <x:c r="E2" s="7" t="str">
        <x:v>Default Settings</x:v>
      </x:c>
    </x:row>
    <x:row r="3">
      <x:c r="A3" s="7" t="str">
        <x:v>In progress</x:v>
      </x:c>
      <x:c r="B3" s="7" t="str">
        <x:v>Owner-confirmed current configuration</x:v>
      </x:c>
      <x:c r="C3" s="7" t="str">
        <x:v>No</x:v>
      </x:c>
      <x:c r="D3" s="7" t="str">
        <x:v>Pass</x:v>
      </x:c>
      <x:c r="E3" s="7" t="str">
        <x:v>C1 Wildlife</x:v>
      </x:c>
    </x:row>
    <x:row r="4">
      <x:c r="A4" s="7" t="str">
        <x:v>Configured—not registered</x:v>
      </x:c>
      <x:c r="B4" s="7" t="str">
        <x:v>Verified Canon capability</x:v>
      </x:c>
      <x:c r="C4" s="7" t="str">
        <x:v>Not applicable</x:v>
      </x:c>
      <x:c r="D4" s="7" t="str">
        <x:v>Fail</x:v>
      </x:c>
      <x:c r="E4" s="7" t="str">
        <x:v>C2 Birds in Flight</x:v>
      </x:c>
    </x:row>
    <x:row r="5">
      <x:c r="A5" s="7" t="str">
        <x:v>Registered—pending read-back</x:v>
      </x:c>
      <x:c r="B5" s="7" t="str">
        <x:v>Project recommendation</x:v>
      </x:c>
      <x:c r="C5" s="7"/>
      <x:c r="D5" s="7" t="str">
        <x:v>Needs retest</x:v>
      </x:c>
      <x:c r="E5" s="7" t="str">
        <x:v>C3 Landscape</x:v>
      </x:c>
    </x:row>
    <x:row r="6">
      <x:c r="A6" s="7" t="str">
        <x:v>Backup-Settings</x:v>
      </x:c>
      <x:c r="B6" s="7" t="str">
        <x:v>Unresolved</x:v>
      </x:c>
      <x:c r="C6" s="7"/>
      <x:c r="D6" s="7" t="str">
        <x:v>Not applicable</x:v>
      </x:c>
      <x:c r="E6" s="7"/>
    </x:row>
    <x:row r="7">
      <x:c r="A7" s="7" t="str">
        <x:v>Verified</x:v>
      </x:c>
      <x:c r="B7" s="7"/>
      <x:c r="C7" s="7"/>
      <x:c r="D7" s="7"/>
      <x:c r="E7" s="7"/>
    </x:row>
    <x:row r="8">
      <x:c r="A8" s="7" t="str">
        <x:v>Failed—needs correction</x:v>
      </x:c>
      <x:c r="B8" s="7"/>
      <x:c r="C8" s="7"/>
      <x:c r="D8" s="7"/>
      <x:c r="E8" s="7"/>
    </x:row>
    <x:row r="9">
      <x:c r="A9" s="7" t="str">
        <x:v>Inconclusive—needs retest</x:v>
      </x:c>
      <x:c r="B9" s="7"/>
      <x:c r="C9" s="7"/>
      <x:c r="D9" s="7"/>
      <x:c r="E9" s="7"/>
    </x:row>
    <x:row r="10">
      <x:c r="A10" s="7" t="str">
        <x:v>Blocked</x:v>
      </x:c>
      <x:c r="B10" s="7"/>
      <x:c r="C10" s="7"/>
      <x:c r="D10" s="7"/>
      <x:c r="E10" s="7"/>
    </x:row>
    <x:row r="11">
      <x:c r="A11" s="7" t="str">
        <x:v>Not applicable</x:v>
      </x:c>
      <x:c r="B11" s="7"/>
      <x:c r="C11" s="7"/>
      <x:c r="D11" s="7"/>
      <x:c r="E11" s="7"/>
    </x:row>
  </x:sheetData>
  <x:pageMargins left="0.7" right="0.7" top="0.75" bottom="0.75" header="0.3" footer="0.3"/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5"/>
  <x:cols>
    <x:col min="1" max="1" width="14.5600004196167" hidden="0" customWidth="1"/>
    <x:col min="2" max="2" width="21.329999923706055" hidden="0" customWidth="1"/>
    <x:col min="3" max="3" width="17.780000686645508" hidden="0" customWidth="1"/>
    <x:col min="4" max="4" width="44" hidden="0" customWidth="1"/>
    <x:col min="5" max="5" width="10.329999923706055" hidden="0" customWidth="1"/>
  </x:cols>
  <x:sheetData>
    <x:row r="1" hidden="0">
      <x:c r="A1" s="5" t="str">
        <x:v>Test ID</x:v>
      </x:c>
      <x:c r="B1" s="5" t="str">
        <x:v>Best Access</x:v>
      </x:c>
      <x:c r="C1" s="5" t="str">
        <x:v>Menu Location</x:v>
      </x:c>
      <x:c r="D1" s="5" t="str">
        <x:v>Menu Detail</x:v>
      </x:c>
      <x:c r="E1" s="5" t="str">
        <x:v>Sequence</x:v>
      </x:c>
    </x:row>
    <x:row r="2" hidden="0">
      <x:c r="A2" s="10" t="str">
        <x:v>SETUP-01</x:v>
      </x:c>
      <x:c r="B2" s="13" t="str">
        <x:v>MENU</x:v>
      </x:c>
      <x:c r="C2" s="14" t="str">
        <x:v>Set-up 5</x:v>
      </x:c>
      <x:c r="D2" s="15" t="str">
        <x:v>Save/load cam settings on card &gt; Save to card</x:v>
      </x:c>
      <x:c r="E2" s="17" t="n">
        <x:v>1</x:v>
      </x:c>
    </x:row>
    <x:row r="3" hidden="0">
      <x:c r="A3" s="10" t="str">
        <x:v>SETUP-02</x:v>
      </x:c>
      <x:c r="B3" s="13" t="str">
        <x:v>M-Fn recall; photograph or record</x:v>
      </x:c>
      <x:c r="C3" s="14" t="str">
        <x:v>No menu</x:v>
      </x:c>
      <x:c r="D3" s="15" t="str">
        <x:v>Recall C1, C2, and C3 and photograph or record their settings</x:v>
      </x:c>
      <x:c r="E3" s="17" t="n">
        <x:v>2</x:v>
      </x:c>
    </x:row>
    <x:row r="4" hidden="0">
      <x:c r="A4" s="10" t="str">
        <x:v>SETUP-03</x:v>
      </x:c>
      <x:c r="B4" s="13" t="str">
        <x:v>MENU</x:v>
      </x:c>
      <x:c r="C4" s="14" t="str">
        <x:v>Set-up 5</x:v>
      </x:c>
      <x:c r="D4" s="15" t="str">
        <x:v>Custom shooting mode (C1-C3) &gt; Auto update set. &gt; Disable</x:v>
      </x:c>
      <x:c r="E4" s="17" t="n">
        <x:v>3</x:v>
      </x:c>
    </x:row>
    <x:row r="5" hidden="0">
      <x:c r="A5" s="10" t="str">
        <x:v>SETUP-MM-01</x:v>
      </x:c>
      <x:c r="B5" s="13" t="str">
        <x:v>My Menu</x:v>
      </x:c>
      <x:c r="C5" s="14" t="str">
        <x:v>My Menu</x:v>
      </x:c>
      <x:c r="D5" s="15" t="str">
        <x:v>Create tab SWITCH; register Subject to detect, Shutter mode, Focus bracketing, IS (Image Stabilizer) mode, and Cropping/aspect ratio in order; leave position 6 open.</x:v>
      </x:c>
      <x:c r="E5" s="17" t="n">
        <x:v>4</x:v>
      </x:c>
    </x:row>
    <x:row r="6" hidden="0">
      <x:c r="A6" s="10" t="str">
        <x:v>SETUP-MM-AF-01</x:v>
      </x:c>
      <x:c r="B6" s="13" t="str">
        <x:v>My Menu</x:v>
      </x:c>
      <x:c r="C6" s="14" t="str">
        <x:v>My Menu</x:v>
      </x:c>
      <x:c r="D6" s="15" t="str">
        <x:v>Create tab AF Case; register Servo AF, Tracking Sensitivity, and Accel./Decel. tracking in order; confirm Servo AF opens the complete Case 1–4 / Case A selector and does not change AF Operation.</x:v>
      </x:c>
      <x:c r="E6" s="17" t="n">
        <x:v>5</x:v>
      </x:c>
    </x:row>
    <x:row r="7" hidden="0">
      <x:c r="A7" s="10" t="str">
        <x:v>SETUP-04</x:v>
      </x:c>
      <x:c r="B7" s="13" t="str">
        <x:v>Q screen; direct exposure controls; AF Point Selection button; MM-SWITCH for Subject to detect, Shutter mode, and Cropping/aspect ratio; MM-AF Case for Servo AF Case</x:v>
      </x:c>
      <x:c r="C7" s="14" t="str">
        <x:v>Multiple</x:v>
      </x:c>
      <x:c r="D7" s="15" t="str">
        <x:v>Direct/Q: Fv, shutter Auto, aperture Auto, Auto ISO, Servo AF, High Speed Continuous, Evaluative metering; AF1: AF method, Subject to detect, Eye detection; My Menu AF Case &gt; Servo AF or AF3 &gt; Servo AF characteristics: Case A; Shooting 1: Image quality and Cropping/aspect ratio; Shooting 2: ISO speed settings; Shooting 6: Shutter mode; Shooting menu: IS (Image Stabilizer) mode</x:v>
      </x:c>
      <x:c r="E7" s="17" t="n">
        <x:v>6</x:v>
      </x:c>
    </x:row>
    <x:row r="8" hidden="0">
      <x:c r="A8" s="10" t="str">
        <x:v>SETUP-05</x:v>
      </x:c>
      <x:c r="B8" s="13" t="str">
        <x:v>MENU</x:v>
      </x:c>
      <x:c r="C8" s="14" t="str">
        <x:v>Multiple</x:v>
      </x:c>
      <x:c r="D8" s="15" t="str">
        <x:v>Shooting 7: Shooting info. disp. &gt; Screen info. settings &gt; Histogram &gt; RGB; Playback 5: Highlight alert &gt; Enable</x:v>
      </x:c>
      <x:c r="E8" s="17" t="n">
        <x:v>7</x:v>
      </x:c>
    </x:row>
    <x:row r="9" hidden="0">
      <x:c r="A9" s="10" t="str">
        <x:v>SETUP-06</x:v>
      </x:c>
      <x:c r="B9" s="13" t="str">
        <x:v>MENU</x:v>
      </x:c>
      <x:c r="C9" s="14" t="str">
        <x:v>Multiple</x:v>
      </x:c>
      <x:c r="D9" s="15" t="str">
        <x:v>Shooting 4: Long exp. noise reduction and High ISO speed NR; AF1: Continuous AF; AF menu: Lens electronic MF; Shooting 5: IBIS High resolution shot</x:v>
      </x:c>
      <x:c r="E9" s="17" t="n">
        <x:v>8</x:v>
      </x:c>
    </x:row>
    <x:row r="10" hidden="0">
      <x:c r="A10" s="10" t="str">
        <x:v>SETUP-07</x:v>
      </x:c>
      <x:c r="B10" s="13" t="str">
        <x:v>MENU</x:v>
      </x:c>
      <x:c r="C10" s="14" t="str">
        <x:v>AF menu</x:v>
      </x:c>
      <x:c r="D10" s="15" t="str">
        <x:v>MF peaking settings &gt; Peaking: On; Level: Low; Color: Red</x:v>
      </x:c>
      <x:c r="E10" s="17" t="n">
        <x:v>9</x:v>
      </x:c>
    </x:row>
    <x:row r="11" hidden="0">
      <x:c r="A11" s="10" t="str">
        <x:v>CTRL-CONFIG-01</x:v>
      </x:c>
      <x:c r="B11" s="13" t="str">
        <x:v>Physical controls; MENU</x:v>
      </x:c>
      <x:c r="C11" s="14" t="str">
        <x:v>Custom Functions 3</x:v>
      </x:c>
      <x:c r="D11" s="15" t="str">
        <x:v>Customize buttons and Customize dials; use Customize buttons for shutter half-press, AF-ON, AE Lock, AF Point Selection, lens AF, DOF, SET, joystick, and M-Fn</x:v>
      </x:c>
      <x:c r="E11" s="17" t="n">
        <x:v>10</x:v>
      </x:c>
    </x:row>
    <x:row r="12" hidden="0">
      <x:c r="A12" s="10" t="str">
        <x:v>BACKUP-SET-01</x:v>
      </x:c>
      <x:c r="B12" s="13" t="str">
        <x:v>MENU</x:v>
      </x:c>
      <x:c r="C12" s="14" t="str">
        <x:v>Set-up 5</x:v>
      </x:c>
      <x:c r="D12" s="15" t="str">
        <x:v>Save/load cam settings on card &gt; Save to card</x:v>
      </x:c>
      <x:c r="E12" s="17" t="n">
        <x:v>11</x:v>
      </x:c>
    </x:row>
    <x:row r="13" hidden="0">
      <x:c r="A13" s="10" t="str">
        <x:v>C1-CONFIG-01</x:v>
      </x:c>
      <x:c r="B13" s="13" t="str">
        <x:v>Q, dials, AF controls, MM-SWITCH, MM-AF Case, lens IS switch</x:v>
      </x:c>
      <x:c r="C13" s="14" t="str">
        <x:v>Multiple</x:v>
      </x:c>
      <x:c r="D13" s="15" t="str">
        <x:v>Shooting screen/Quick Control plus Shooting 1, Shooting 2, Shooting 5, Shooting 6, Shooting 7, AF1, My Menu AF Case or AF3 Servo AF characteristics, AF Drive mode, and lens IS switch</x:v>
      </x:c>
      <x:c r="E13" s="17" t="n">
        <x:v>12</x:v>
      </x:c>
    </x:row>
    <x:row r="14" hidden="0">
      <x:c r="A14" s="10" t="str">
        <x:v>C1-REG-01</x:v>
      </x:c>
      <x:c r="B14" s="13" t="str">
        <x:v>MENU</x:v>
      </x:c>
      <x:c r="C14" s="14" t="str">
        <x:v>Set-up 5</x:v>
      </x:c>
      <x:c r="D14" s="15" t="str">
        <x:v>Custom shooting mode (C1-C3) &gt; Register settings &gt; C1</x:v>
      </x:c>
      <x:c r="E14" s="17" t="n">
        <x:v>13</x:v>
      </x:c>
    </x:row>
    <x:row r="15" hidden="0">
      <x:c r="A15" s="10" t="str">
        <x:v>C1-READ-01</x:v>
      </x:c>
      <x:c r="B15" s="13" t="str">
        <x:v>M-Fn recall; Q; MM-SWITCH; MM-AF Case; MENU</x:v>
      </x:c>
      <x:c r="C15" s="14" t="str">
        <x:v>No single menu</x:v>
      </x:c>
      <x:c r="D15" s="15" t="str">
        <x:v>Recall C1 with M-Fn; verify the shooting screen, Quick Control screen, My Menu shortcuts, and applicable menu settings</x:v>
      </x:c>
      <x:c r="E15" s="17" t="n">
        <x:v>14</x:v>
      </x:c>
    </x:row>
    <x:row r="16" hidden="0">
      <x:c r="A16" s="10" t="str">
        <x:v>C1-OPS-01</x:v>
      </x:c>
      <x:c r="B16" s="13" t="str">
        <x:v>Physical controls</x:v>
      </x:c>
      <x:c r="C16" s="14" t="str">
        <x:v>No menu</x:v>
      </x:c>
      <x:c r="D16" s="15" t="str">
        <x:v>Operational shooting test</x:v>
      </x:c>
      <x:c r="E16" s="17" t="n">
        <x:v>15</x:v>
      </x:c>
    </x:row>
    <x:row r="17" hidden="0">
      <x:c r="A17" s="10" t="str">
        <x:v>C2-CONFIG-01</x:v>
      </x:c>
      <x:c r="B17" s="13" t="str">
        <x:v>Q, dials, AF controls, MM-SWITCH, MM-AF Case, lens IS switch</x:v>
      </x:c>
      <x:c r="C17" s="14" t="str">
        <x:v>Multiple</x:v>
      </x:c>
      <x:c r="D17" s="15" t="str">
        <x:v>Shooting screen/Quick Control plus Shooting 1, Shooting 2, Shooting 5, Shooting 6, Shooting 7, AF1, My Menu AF Case or AF3 Servo AF characteristics, AF Drive mode, and lens IS switch</x:v>
      </x:c>
      <x:c r="E17" s="17" t="n">
        <x:v>16</x:v>
      </x:c>
    </x:row>
    <x:row r="18" hidden="0">
      <x:c r="A18" s="10" t="str">
        <x:v>C2-REG-01</x:v>
      </x:c>
      <x:c r="B18" s="13" t="str">
        <x:v>MENU</x:v>
      </x:c>
      <x:c r="C18" s="14" t="str">
        <x:v>Set-up 5</x:v>
      </x:c>
      <x:c r="D18" s="15" t="str">
        <x:v>Custom shooting mode (C1-C3) &gt; Register settings &gt; C2</x:v>
      </x:c>
      <x:c r="E18" s="17" t="n">
        <x:v>17</x:v>
      </x:c>
    </x:row>
    <x:row r="19" hidden="0">
      <x:c r="A19" s="10" t="str">
        <x:v>C2-READ-01</x:v>
      </x:c>
      <x:c r="B19" s="13" t="str">
        <x:v>M-Fn recall; Q; MM-SWITCH; MM-AF Case; MENU</x:v>
      </x:c>
      <x:c r="C19" s="14" t="str">
        <x:v>No single menu</x:v>
      </x:c>
      <x:c r="D19" s="15" t="str">
        <x:v>Recall C2 with M-Fn; verify the shooting screen, Quick Control screen, My Menu shortcuts, and applicable menu settings</x:v>
      </x:c>
      <x:c r="E19" s="17" t="n">
        <x:v>18</x:v>
      </x:c>
    </x:row>
    <x:row r="20" hidden="0">
      <x:c r="A20" s="10" t="str">
        <x:v>C2-OPS-01</x:v>
      </x:c>
      <x:c r="B20" s="13" t="str">
        <x:v>Physical controls</x:v>
      </x:c>
      <x:c r="C20" s="14" t="str">
        <x:v>No menu</x:v>
      </x:c>
      <x:c r="D20" s="15" t="str">
        <x:v>Operational shooting test</x:v>
      </x:c>
      <x:c r="E20" s="17" t="n">
        <x:v>19</x:v>
      </x:c>
    </x:row>
    <x:row r="21" hidden="0">
      <x:c r="A21" s="10" t="str">
        <x:v>C3-CONFIG-01</x:v>
      </x:c>
      <x:c r="B21" s="13" t="str">
        <x:v>Q, dials, AF controls, MM-SWITCH, lens IS switch</x:v>
      </x:c>
      <x:c r="C21" s="14" t="str">
        <x:v>Multiple</x:v>
      </x:c>
      <x:c r="D21" s="15" t="str">
        <x:v>Shooting screen/Quick Control plus Shooting 1, Shooting 2, Shooting 5, Shooting 6, Shooting 7, AF1, AF Drive mode, and lens IS switch</x:v>
      </x:c>
      <x:c r="E21" s="17" t="n">
        <x:v>20</x:v>
      </x:c>
    </x:row>
    <x:row r="22" hidden="0">
      <x:c r="A22" s="10" t="str">
        <x:v>C3-REG-01</x:v>
      </x:c>
      <x:c r="B22" s="13" t="str">
        <x:v>MENU</x:v>
      </x:c>
      <x:c r="C22" s="14" t="str">
        <x:v>Set-up 5</x:v>
      </x:c>
      <x:c r="D22" s="15" t="str">
        <x:v>Custom shooting mode (C1-C3) &gt; Register settings &gt; C3</x:v>
      </x:c>
      <x:c r="E22" s="17" t="n">
        <x:v>21</x:v>
      </x:c>
    </x:row>
    <x:row r="23" hidden="0">
      <x:c r="A23" s="10" t="str">
        <x:v>C3-READ-01</x:v>
      </x:c>
      <x:c r="B23" s="13" t="str">
        <x:v>M-Fn recall; Q; MM-SWITCH; MENU</x:v>
      </x:c>
      <x:c r="C23" s="14" t="str">
        <x:v>No single menu</x:v>
      </x:c>
      <x:c r="D23" s="15" t="str">
        <x:v>Recall C3 with M-Fn; verify the shooting screen, Quick Control screen, My Menu shortcuts, and applicable menu settings</x:v>
      </x:c>
      <x:c r="E23" s="17" t="n">
        <x:v>22</x:v>
      </x:c>
    </x:row>
    <x:row r="24" hidden="0">
      <x:c r="A24" s="10" t="str">
        <x:v>BACKUP-SET-02</x:v>
      </x:c>
      <x:c r="B24" s="13" t="str">
        <x:v>MENU</x:v>
      </x:c>
      <x:c r="C24" s="14" t="str">
        <x:v>Set-up 5</x:v>
      </x:c>
      <x:c r="D24" s="15" t="str">
        <x:v>Save/load cam settings on card &gt; Save to card</x:v>
      </x:c>
      <x:c r="E24" s="17" t="n">
        <x:v>23</x:v>
      </x:c>
    </x:row>
    <x:row r="25" hidden="0">
      <x:c r="A25" s="10" t="str">
        <x:v>C3-OPS-01</x:v>
      </x:c>
      <x:c r="B25" s="13" t="str">
        <x:v>Physical controls</x:v>
      </x:c>
      <x:c r="C25" s="14" t="str">
        <x:v>No menu</x:v>
      </x:c>
      <x:c r="D25" s="15" t="str">
        <x:v>Operational shooting test</x:v>
      </x:c>
      <x:c r="E25" s="17" t="n">
        <x:v>24</x:v>
      </x:c>
    </x:row>
    <x:row r="26" hidden="0">
      <x:c r="A26" s="10" t="str">
        <x:v>CTRL-AFON-01</x:v>
      </x:c>
      <x:c r="B26" s="13" t="str">
        <x:v>AF-ON; INFO</x:v>
      </x:c>
      <x:c r="C26" s="14" t="str">
        <x:v>Custom Functions 3</x:v>
      </x:c>
      <x:c r="D26" s="15" t="str">
        <x:v>Customize buttons &gt; AF-ON; press INFO to verify AF Operation, AF Method, and Servo AF characteristics</x:v>
      </x:c>
      <x:c r="E26" s="17" t="n">
        <x:v>25</x:v>
      </x:c>
    </x:row>
    <x:row r="27" hidden="0">
      <x:c r="A27" s="10" t="str">
        <x:v>CTRL-AELOCK-01</x:v>
      </x:c>
      <x:c r="B27" s="13" t="str">
        <x:v>AE Lock; INFO</x:v>
      </x:c>
      <x:c r="C27" s="14" t="str">
        <x:v>Custom Functions 3</x:v>
      </x:c>
      <x:c r="D27" s="15" t="str">
        <x:v>Customize buttons &gt; AE Lock; press INFO to verify AF Operation, AF Method, and Servo AF characteristics</x:v>
      </x:c>
      <x:c r="E27" s="17" t="n">
        <x:v>26</x:v>
      </x:c>
    </x:row>
    <x:row r="28" hidden="0">
      <x:c r="A28" s="10" t="str">
        <x:v>CTRL-DOF-01</x:v>
      </x:c>
      <x:c r="B28" s="13" t="str">
        <x:v>DOF button</x:v>
      </x:c>
      <x:c r="C28" s="14" t="str">
        <x:v>Custom Functions 3</x:v>
      </x:c>
      <x:c r="D28" s="15" t="str">
        <x:v>Customize buttons &gt; Depth-of-field preview &gt; One-Shot AF ↔ Servo AF</x:v>
      </x:c>
      <x:c r="E28" s="17" t="n">
        <x:v>27</x:v>
      </x:c>
    </x:row>
    <x:row r="29" hidden="0">
      <x:c r="A29" s="10" t="str">
        <x:v>CTRL-SET-01</x:v>
      </x:c>
      <x:c r="B29" s="13" t="str">
        <x:v>SET button</x:v>
      </x:c>
      <x:c r="C29" s="14" t="str">
        <x:v>Custom Functions 3</x:v>
      </x:c>
      <x:c r="D29" s="15" t="str">
        <x:v>Customize buttons &gt; SET &gt; Eye detection</x:v>
      </x:c>
      <x:c r="E29" s="17" t="n">
        <x:v>28</x:v>
      </x:c>
    </x:row>
    <x:row r="30" hidden="0">
      <x:c r="A30" s="10" t="str">
        <x:v>CTRL-JOY-01</x:v>
      </x:c>
      <x:c r="B30" s="13" t="str">
        <x:v>Joystick</x:v>
      </x:c>
      <x:c r="C30" s="14" t="str">
        <x:v>Custom Functions 3</x:v>
      </x:c>
      <x:c r="D30" s="15" t="str">
        <x:v>Customize buttons &gt; Multi-controller &gt; Direct AF point selection</x:v>
      </x:c>
      <x:c r="E30" s="17" t="n">
        <x:v>29</x:v>
      </x:c>
    </x:row>
    <x:row r="31" hidden="0">
      <x:c r="A31" s="10" t="str">
        <x:v>EFCS-SHOCK-01</x:v>
      </x:c>
      <x:c r="B31" s="13" t="str">
        <x:v>MM-SWITCH</x:v>
      </x:c>
      <x:c r="C31" s="14" t="str">
        <x:v>Shooting 6</x:v>
      </x:c>
      <x:c r="D31" s="15" t="str">
        <x:v>Shutter mode; use EFCS and Mechanical for the comparison</x:v>
      </x:c>
      <x:c r="E31" s="17" t="n">
        <x:v>30</x:v>
      </x:c>
    </x:row>
    <x:row r="32" hidden="0">
      <x:c r="A32" s="10" t="str">
        <x:v>EFCS-BOKEH-01</x:v>
      </x:c>
      <x:c r="B32" s="13" t="str">
        <x:v>MM-SWITCH</x:v>
      </x:c>
      <x:c r="C32" s="14" t="str">
        <x:v>Shooting 6</x:v>
      </x:c>
      <x:c r="D32" s="15" t="str">
        <x:v>Shutter mode; use EFCS and Mechanical for the comparison</x:v>
      </x:c>
      <x:c r="E32" s="17" t="n">
        <x:v>31</x:v>
      </x:c>
    </x:row>
    <x:row r="33" hidden="0">
      <x:c r="A33" s="10" t="str">
        <x:v>EFCS-LIGHT-01</x:v>
      </x:c>
      <x:c r="B33" s="13" t="str">
        <x:v>MM-SWITCH; MENU for Anti-flicker</x:v>
      </x:c>
      <x:c r="C33" s="14" t="str">
        <x:v>Multiple</x:v>
      </x:c>
      <x:c r="D33" s="15" t="str">
        <x:v>Shooting 6: Shutter mode; Shooting 2: Anti-flicker shoot.</x:v>
      </x:c>
      <x:c r="E33" s="17" t="n">
        <x:v>32</x:v>
      </x:c>
    </x:row>
    <x:row r="34" hidden="0">
      <x:c r="A34" s="10" t="str">
        <x:v>EFCS-BURST-01</x:v>
      </x:c>
      <x:c r="B34" s="13" t="str">
        <x:v>MM-SWITCH; Q for Drive mode</x:v>
      </x:c>
      <x:c r="C34" s="14" t="str">
        <x:v>Multiple</x:v>
      </x:c>
      <x:c r="D34" s="15" t="str">
        <x:v>Shooting 6: Shutter mode; AF menu/Quick Control: Drive mode</x:v>
      </x:c>
      <x:c r="E34" s="17" t="n">
        <x:v>33</x:v>
      </x:c>
    </x:row>
    <x:row r="35" hidden="0">
      <x:c r="A35" s="10" t="str">
        <x:v>FLASH-PLUTO-01</x:v>
      </x:c>
      <x:c r="B35" s="13" t="str">
        <x:v>MM-SWITCH; shooting controls</x:v>
      </x:c>
      <x:c r="C35" s="14" t="str">
        <x:v>Multiple</x:v>
      </x:c>
      <x:c r="D35" s="15" t="str">
        <x:v>Shooting 6: Shutter mode &gt; Mechanical; shooting screen: M, 1/200 sec., aperture, ISO; Shooting 2: External Speedlite control when applicable</x:v>
      </x:c>
      <x:c r="E35" s="17" t="n">
        <x:v>34</x:v>
      </x:c>
    </x:row>
    <x:row r="36" hidden="0">
      <x:c r="A36" s="10" t="str">
        <x:v>FINAL-READ-01</x:v>
      </x:c>
      <x:c r="B36" s="13" t="str">
        <x:v>M-Fn; MM-SWITCH; MM-AF Case; Q; MENU</x:v>
      </x:c>
      <x:c r="C36" s="14" t="str">
        <x:v>Multiple</x:v>
      </x:c>
      <x:c r="D36" s="15" t="str">
        <x:v>Recall C1-C3 with M-Fn; verify SWITCH and AF Case; Set-up 5 confirm Auto update is disabled; Custom Functions 3 confirm control assignments</x:v>
      </x:c>
      <x:c r="E36" s="17" t="n">
        <x:v>35</x:v>
      </x:c>
    </x:row>
    <x:row r="37" hidden="0">
      <x:c r="A37" s="10" t="str">
        <x:v>FINAL-SAVE-01</x:v>
      </x:c>
      <x:c r="B37" s="13" t="str">
        <x:v>MENU</x:v>
      </x:c>
      <x:c r="C37" s="14" t="str">
        <x:v>Set-up 5</x:v>
      </x:c>
      <x:c r="D37" s="15" t="str">
        <x:v>Save/load cam settings on card &gt; Save to card</x:v>
      </x:c>
      <x:c r="E37" s="17" t="n">
        <x:v>36</x:v>
      </x:c>
    </x:row>
    <x:row r="38" hidden="0">
      <x:c r="A38" s="10" t="str">
        <x:v>PROJECT-UPDATE-01</x:v>
      </x:c>
      <x:c r="B38" s="13" t="str">
        <x:v>Completed tracker</x:v>
      </x:c>
      <x:c r="C38" s="14" t="str">
        <x:v>No camera menu</x:v>
      </x:c>
      <x:c r="D38" s="15" t="str">
        <x:v>Review the completed tracker and update the reference-system evidence states</x:v>
      </x:c>
      <x:c r="E38" s="17" t="n">
        <x:v>37</x:v>
      </x:c>
    </x:row>
  </x:sheetData>
  <x:pageMargins left="0.7" right="0.7" top="0.75" bottom="0.75" header="0.3" footer="0.3"/>
  <x:tableParts count="1">
    <x:tablePart ns1:id="Rbbe7f96db5da4d4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78" hidden="0" customWidth="1"/>
  </x:cols>
  <x:sheetData>
    <x:row r="1">
      <x:c r="A1" s="5" t="str">
        <x:v>Type</x:v>
      </x:c>
      <x:c r="B1" s="5" t="str">
        <x:v>ID</x:v>
      </x:c>
      <x:c r="C1" s="5" t="str">
        <x:v>Revision</x:v>
      </x:c>
    </x:row>
    <x:row r="2">
      <x:c r="A2" s="99" t="str">
        <x:v>workbook_revision</x:v>
      </x:c>
      <x:c r="B2" s="99" t="str"/>
      <x:c r="C2" s="99" t="str">
        <x:v>2</x:v>
      </x:c>
    </x:row>
    <x:row r="3">
      <x:c r="A3" s="99" t="str">
        <x:v>source_fingerprint</x:v>
      </x:c>
      <x:c r="B3" s="99" t="str"/>
      <x:c r="C3" s="99" t="str">
        <x:v>sha256:63ee9d6d18b374f3ee3b85a67466c6b5a0fe162dfa586934cf4fd911acf6e3fe</x:v>
      </x:c>
    </x:row>
    <x:row r="4">
      <x:c r="A4" s="99" t="str">
        <x:v>test</x:v>
      </x:c>
      <x:c r="B4" s="99" t="str">
        <x:v>SETUP-01</x:v>
      </x:c>
      <x:c r="C4" s="99" t="str">
        <x:v>sha256:6298d64e10367b2e38e5d41253bb816c1012479ab7612afc5a53ad66630e975f</x:v>
      </x:c>
    </x:row>
    <x:row r="5">
      <x:c r="A5" s="99" t="str">
        <x:v>test</x:v>
      </x:c>
      <x:c r="B5" s="99" t="str">
        <x:v>SETUP-02</x:v>
      </x:c>
      <x:c r="C5" s="99" t="str">
        <x:v>sha256:2c28c37a65e2efee3349ec9d9c3a6e75de10e76697f1c3b5ec5ca8d1ceae0030</x:v>
      </x:c>
    </x:row>
    <x:row r="6">
      <x:c r="A6" s="99" t="str">
        <x:v>test</x:v>
      </x:c>
      <x:c r="B6" s="99" t="str">
        <x:v>SETUP-03</x:v>
      </x:c>
      <x:c r="C6" s="99" t="str">
        <x:v>sha256:eb596d6e2a1ad3dba500a053b487e07af4813566f59012575380f500c95740a3</x:v>
      </x:c>
    </x:row>
    <x:row r="7">
      <x:c r="A7" s="99" t="str">
        <x:v>test</x:v>
      </x:c>
      <x:c r="B7" s="99" t="str">
        <x:v>SETUP-MM-01</x:v>
      </x:c>
      <x:c r="C7" s="99" t="str">
        <x:v>sha256:c760cc1bea9609da89be5d36089ba2323849d51903b5f40f43c986536aab0cc0</x:v>
      </x:c>
    </x:row>
    <x:row r="8">
      <x:c r="A8" s="99" t="str">
        <x:v>test</x:v>
      </x:c>
      <x:c r="B8" s="99" t="str">
        <x:v>SETUP-MM-AF-01</x:v>
      </x:c>
      <x:c r="C8" s="99" t="str">
        <x:v>sha256:640095557a45fc26bff30bed84e3dd0f081eee4f34666a3ac6f03baffad58ba1</x:v>
      </x:c>
    </x:row>
    <x:row r="9">
      <x:c r="A9" s="99" t="str">
        <x:v>test</x:v>
      </x:c>
      <x:c r="B9" s="99" t="str">
        <x:v>SETUP-04</x:v>
      </x:c>
      <x:c r="C9" s="99" t="str">
        <x:v>sha256:0810980437956c762e776c7d3c3c83ace9e5e624352479bd6ec652a9c66f8a65</x:v>
      </x:c>
    </x:row>
    <x:row r="10">
      <x:c r="A10" s="99" t="str">
        <x:v>test</x:v>
      </x:c>
      <x:c r="B10" s="99" t="str">
        <x:v>SETUP-05</x:v>
      </x:c>
      <x:c r="C10" s="99" t="str">
        <x:v>sha256:67ea99e7324822765d73c9e1a978991ba090dd1fcb01bc4f819eb693e2018f1b</x:v>
      </x:c>
    </x:row>
    <x:row r="11">
      <x:c r="A11" s="99" t="str">
        <x:v>test</x:v>
      </x:c>
      <x:c r="B11" s="99" t="str">
        <x:v>SETUP-06</x:v>
      </x:c>
      <x:c r="C11" s="99" t="str">
        <x:v>sha256:50a7bb1d684b76be2ecaf5dd70540adcc5036481c265a2d6e4348a13c0d3f061</x:v>
      </x:c>
    </x:row>
    <x:row r="12">
      <x:c r="A12" s="99" t="str">
        <x:v>test</x:v>
      </x:c>
      <x:c r="B12" s="99" t="str">
        <x:v>SETUP-07</x:v>
      </x:c>
      <x:c r="C12" s="99" t="str">
        <x:v>sha256:4465ab573d202c4fbb497291b08a1c5ffffad91c48872e300991471bef2567f4</x:v>
      </x:c>
    </x:row>
    <x:row r="13">
      <x:c r="A13" s="99" t="str">
        <x:v>test</x:v>
      </x:c>
      <x:c r="B13" s="99" t="str">
        <x:v>CTRL-CONFIG-01</x:v>
      </x:c>
      <x:c r="C13" s="99" t="str">
        <x:v>sha256:bf207e6d54b48768207e423d534c48709f88f234d55bdcb9613e260a68c411f2</x:v>
      </x:c>
    </x:row>
    <x:row r="14">
      <x:c r="A14" s="99" t="str">
        <x:v>test</x:v>
      </x:c>
      <x:c r="B14" s="99" t="str">
        <x:v>BACKUP-SET-01</x:v>
      </x:c>
      <x:c r="C14" s="99" t="str">
        <x:v>sha256:a17b1005496620e34a1ee11e646e9a1fc082c4eb20ac617592011ba5e6ceae8a</x:v>
      </x:c>
    </x:row>
    <x:row r="15">
      <x:c r="A15" s="99" t="str">
        <x:v>test</x:v>
      </x:c>
      <x:c r="B15" s="99" t="str">
        <x:v>C1-CONFIG-01</x:v>
      </x:c>
      <x:c r="C15" s="99" t="str">
        <x:v>sha256:1507d79e9f067c7c5b2099b8101a3d17938d127abce04324c2c3ac3d6b72efd7</x:v>
      </x:c>
    </x:row>
    <x:row r="16">
      <x:c r="A16" s="99" t="str">
        <x:v>test</x:v>
      </x:c>
      <x:c r="B16" s="99" t="str">
        <x:v>C1-REG-01</x:v>
      </x:c>
      <x:c r="C16" s="99" t="str">
        <x:v>sha256:04a561cd1850599049f01a2ec97355afe25fe8c5fc4c4c81d52f639897d63b03</x:v>
      </x:c>
    </x:row>
    <x:row r="17">
      <x:c r="A17" s="99" t="str">
        <x:v>test</x:v>
      </x:c>
      <x:c r="B17" s="99" t="str">
        <x:v>C1-READ-01</x:v>
      </x:c>
      <x:c r="C17" s="99" t="str">
        <x:v>sha256:2c25a1c907b5edcc56c06bd4e4bd1d8dde41fa6faebde85baec2ab4a2acefd87</x:v>
      </x:c>
    </x:row>
    <x:row r="18">
      <x:c r="A18" s="99" t="str">
        <x:v>test</x:v>
      </x:c>
      <x:c r="B18" s="99" t="str">
        <x:v>C1-OPS-01</x:v>
      </x:c>
      <x:c r="C18" s="99" t="str">
        <x:v>sha256:91738d7d064f766c1edb2c710fe5f029e24037f657476aa2df79914c67ce7318</x:v>
      </x:c>
    </x:row>
    <x:row r="19">
      <x:c r="A19" s="99" t="str">
        <x:v>test</x:v>
      </x:c>
      <x:c r="B19" s="99" t="str">
        <x:v>C2-CONFIG-01</x:v>
      </x:c>
      <x:c r="C19" s="99" t="str">
        <x:v>sha256:cb99fda58735522dedf306188a4a8f12400a51676d686f840b660c38650789c3</x:v>
      </x:c>
    </x:row>
    <x:row r="20">
      <x:c r="A20" s="99" t="str">
        <x:v>test</x:v>
      </x:c>
      <x:c r="B20" s="99" t="str">
        <x:v>C2-REG-01</x:v>
      </x:c>
      <x:c r="C20" s="99" t="str">
        <x:v>sha256:f4b28c92d9a20605b591f5721dd3ad3beff4e7b5105c8c15a65d23398e8e2d56</x:v>
      </x:c>
    </x:row>
    <x:row r="21">
      <x:c r="A21" s="99" t="str">
        <x:v>test</x:v>
      </x:c>
      <x:c r="B21" s="99" t="str">
        <x:v>C2-READ-01</x:v>
      </x:c>
      <x:c r="C21" s="99" t="str">
        <x:v>sha256:cda561c58eb3b3eeb7b5d8b86836960a48f9ee79058073e4943561aa9c9b39d1</x:v>
      </x:c>
    </x:row>
    <x:row r="22">
      <x:c r="A22" s="99" t="str">
        <x:v>test</x:v>
      </x:c>
      <x:c r="B22" s="99" t="str">
        <x:v>C2-OPS-01</x:v>
      </x:c>
      <x:c r="C22" s="99" t="str">
        <x:v>sha256:d939e6407cadc5480c2f88547845d69f1e2e36a37b7ae6635cebcdde0e9ce030</x:v>
      </x:c>
    </x:row>
    <x:row r="23">
      <x:c r="A23" s="99" t="str">
        <x:v>test</x:v>
      </x:c>
      <x:c r="B23" s="99" t="str">
        <x:v>C3-CONFIG-01</x:v>
      </x:c>
      <x:c r="C23" s="99" t="str">
        <x:v>sha256:633063511fb285503511b318ef26bf092ac48be8afda4df5ef008ab645d4f712</x:v>
      </x:c>
    </x:row>
    <x:row r="24">
      <x:c r="A24" s="99" t="str">
        <x:v>test</x:v>
      </x:c>
      <x:c r="B24" s="99" t="str">
        <x:v>C3-REG-01</x:v>
      </x:c>
      <x:c r="C24" s="99" t="str">
        <x:v>sha256:f692886e78e72d84e31a5ef91aa281938d0529b8b7ea1a220bbf200993144e29</x:v>
      </x:c>
    </x:row>
    <x:row r="25">
      <x:c r="A25" s="99" t="str">
        <x:v>test</x:v>
      </x:c>
      <x:c r="B25" s="99" t="str">
        <x:v>C3-READ-01</x:v>
      </x:c>
      <x:c r="C25" s="99" t="str">
        <x:v>sha256:44b63514e2b1f8af98d36c6a4a25a22b7d554a7055c63b717a390b5801f4f72f</x:v>
      </x:c>
    </x:row>
    <x:row r="26">
      <x:c r="A26" s="99" t="str">
        <x:v>test</x:v>
      </x:c>
      <x:c r="B26" s="99" t="str">
        <x:v>BACKUP-SET-02</x:v>
      </x:c>
      <x:c r="C26" s="99" t="str">
        <x:v>sha256:d8e92939499af335b6f4493b97c7fa8671ad4fc3910cca9a5f8eda4ef41cfc2f</x:v>
      </x:c>
    </x:row>
    <x:row r="27">
      <x:c r="A27" s="99" t="str">
        <x:v>test</x:v>
      </x:c>
      <x:c r="B27" s="99" t="str">
        <x:v>C3-OPS-01</x:v>
      </x:c>
      <x:c r="C27" s="99" t="str">
        <x:v>sha256:c60f649504d508a81fa0bd19f172421676472153728093142a04d2ba4e5c96ad</x:v>
      </x:c>
    </x:row>
    <x:row r="28">
      <x:c r="A28" s="99" t="str">
        <x:v>test</x:v>
      </x:c>
      <x:c r="B28" s="99" t="str">
        <x:v>CTRL-AFON-01</x:v>
      </x:c>
      <x:c r="C28" s="99" t="str">
        <x:v>sha256:2c3055256d014c23ff48c71e8998a544186d8606fc4ad766773ec6c14976f6d7</x:v>
      </x:c>
    </x:row>
    <x:row r="29">
      <x:c r="A29" s="99" t="str">
        <x:v>test</x:v>
      </x:c>
      <x:c r="B29" s="99" t="str">
        <x:v>CTRL-AELOCK-01</x:v>
      </x:c>
      <x:c r="C29" s="99" t="str">
        <x:v>sha256:888daf7bc311ea1a395e8a7406c8caac4655da1853803ba28df50d40a03fda9b</x:v>
      </x:c>
    </x:row>
    <x:row r="30">
      <x:c r="A30" s="99" t="str">
        <x:v>test</x:v>
      </x:c>
      <x:c r="B30" s="99" t="str">
        <x:v>CTRL-DOF-01</x:v>
      </x:c>
      <x:c r="C30" s="99" t="str">
        <x:v>sha256:606ba83c6c6ef93bebe9f6f0451a7c80fead0f83b62fd48fe2137c5a72fa3b19</x:v>
      </x:c>
    </x:row>
    <x:row r="31">
      <x:c r="A31" s="99" t="str">
        <x:v>test</x:v>
      </x:c>
      <x:c r="B31" s="99" t="str">
        <x:v>CTRL-SET-01</x:v>
      </x:c>
      <x:c r="C31" s="99" t="str">
        <x:v>sha256:ad0d38b06de1f9f53cde8acce71775385e4aaef6588e771934320e4124431e25</x:v>
      </x:c>
    </x:row>
    <x:row r="32">
      <x:c r="A32" s="99" t="str">
        <x:v>test</x:v>
      </x:c>
      <x:c r="B32" s="99" t="str">
        <x:v>CTRL-JOY-01</x:v>
      </x:c>
      <x:c r="C32" s="99" t="str">
        <x:v>sha256:957387ec73ac18ab4785a4aaf972f7e285c513c90769f009edece0c97f044600</x:v>
      </x:c>
    </x:row>
    <x:row r="33">
      <x:c r="A33" s="99" t="str">
        <x:v>test</x:v>
      </x:c>
      <x:c r="B33" s="99" t="str">
        <x:v>EFCS-SHOCK-01</x:v>
      </x:c>
      <x:c r="C33" s="99" t="str">
        <x:v>sha256:5536143e9808461e6a2779baa6f8d2adf0dd969cccb0b7d2a28598a924d61203</x:v>
      </x:c>
    </x:row>
    <x:row r="34">
      <x:c r="A34" s="99" t="str">
        <x:v>test</x:v>
      </x:c>
      <x:c r="B34" s="99" t="str">
        <x:v>EFCS-BOKEH-01</x:v>
      </x:c>
      <x:c r="C34" s="99" t="str">
        <x:v>sha256:4e1bd076174191e3341b0eb9a6f2279f745b35cc3425dbd6e1360e771e5f3a42</x:v>
      </x:c>
    </x:row>
    <x:row r="35">
      <x:c r="A35" s="99" t="str">
        <x:v>test</x:v>
      </x:c>
      <x:c r="B35" s="99" t="str">
        <x:v>EFCS-LIGHT-01</x:v>
      </x:c>
      <x:c r="C35" s="99" t="str">
        <x:v>sha256:0294347c51bd94b65f8eec9fad44b39d00e5433c4dc12aeee06c48c0e5ae9c08</x:v>
      </x:c>
    </x:row>
    <x:row r="36">
      <x:c r="A36" s="99" t="str">
        <x:v>test</x:v>
      </x:c>
      <x:c r="B36" s="99" t="str">
        <x:v>EFCS-BURST-01</x:v>
      </x:c>
      <x:c r="C36" s="99" t="str">
        <x:v>sha256:10966e281790e9619773bd99c263d1a8c3f83170403b36c2fbb2a490499e7130</x:v>
      </x:c>
    </x:row>
    <x:row r="37">
      <x:c r="A37" s="99" t="str">
        <x:v>test</x:v>
      </x:c>
      <x:c r="B37" s="99" t="str">
        <x:v>FLASH-PLUTO-01</x:v>
      </x:c>
      <x:c r="C37" s="99" t="str">
        <x:v>sha256:5c00b09991f26e6b8bedd930e7304b53dae8f93819c7135c765aac82e970d87c</x:v>
      </x:c>
    </x:row>
    <x:row r="38">
      <x:c r="A38" s="99" t="str">
        <x:v>test</x:v>
      </x:c>
      <x:c r="B38" s="99" t="str">
        <x:v>FINAL-READ-01</x:v>
      </x:c>
      <x:c r="C38" s="99" t="str">
        <x:v>sha256:688b6db6bd3d38070dfd682da54402cf8678093cb1014766953f9f5da49d7407</x:v>
      </x:c>
    </x:row>
    <x:row r="39">
      <x:c r="A39" s="99" t="str">
        <x:v>test</x:v>
      </x:c>
      <x:c r="B39" s="99" t="str">
        <x:v>FINAL-SAVE-01</x:v>
      </x:c>
      <x:c r="C39" s="99" t="str">
        <x:v>sha256:3d3558eaa54a0fdee859a544db2bccada6d3a8749fda96001422741914b6d0a6</x:v>
      </x:c>
    </x:row>
    <x:row r="40">
      <x:c r="A40" s="99" t="str">
        <x:v>test</x:v>
      </x:c>
      <x:c r="B40" s="99" t="str">
        <x:v>PROJECT-UPDATE-01</x:v>
      </x:c>
      <x:c r="C40" s="99" t="str">
        <x:v>sha256:9312ccf684ccf233900950855d7a3457eb01e52e1c8fcb90e3c7c7daa72e17a6</x:v>
      </x:c>
    </x:row>
    <x:row r="41">
      <x:c r="A41" s="99" t="str">
        <x:v>registration</x:v>
      </x:c>
      <x:c r="B41" s="99" t="str">
        <x:v>Mode</x:v>
      </x:c>
      <x:c r="C41" s="99" t="str">
        <x:v>sha256:16380d447ae550758ff49c344119374224a6b1c009504e23f6f4f93c11c00533</x:v>
      </x:c>
    </x:row>
    <x:row r="42">
      <x:c r="A42" s="99" t="str">
        <x:v>registration</x:v>
      </x:c>
      <x:c r="B42" s="99" t="str">
        <x:v>Metering</x:v>
      </x:c>
      <x:c r="C42" s="99" t="str">
        <x:v>sha256:bc76af3dd5f76e718fe876deafcfbc0fd4a3f64d2a2eb64d2253751bd18f4eae</x:v>
      </x:c>
    </x:row>
    <x:row r="43">
      <x:c r="A43" s="99" t="str">
        <x:v>registration</x:v>
      </x:c>
      <x:c r="B43" s="99" t="str">
        <x:v>Exposure Compensation</x:v>
      </x:c>
      <x:c r="C43" s="99" t="str">
        <x:v>sha256:88e1331bb1792dc8c402253666af51d91b4ff14bdf848d8f5715f7c5735374ee</x:v>
      </x:c>
    </x:row>
    <x:row r="44">
      <x:c r="A44" s="99" t="str">
        <x:v>registration</x:v>
      </x:c>
      <x:c r="B44" s="99" t="str">
        <x:v>Shutter Speed</x:v>
      </x:c>
      <x:c r="C44" s="99" t="str">
        <x:v>sha256:50a59b23cd80339f63a7068a9f9b6618357bcc05eb6f986cc5c7a707e50c0a74</x:v>
      </x:c>
    </x:row>
    <x:row r="45">
      <x:c r="A45" s="99" t="str">
        <x:v>registration</x:v>
      </x:c>
      <x:c r="B45" s="99" t="str">
        <x:v>Aperture</x:v>
      </x:c>
      <x:c r="C45" s="99" t="str">
        <x:v>sha256:74b8c602aefe9109b324a5d3d0f5af54cafeaceae6f80e96effd7b7e7b7512a0</x:v>
      </x:c>
    </x:row>
    <x:row r="46">
      <x:c r="A46" s="99" t="str">
        <x:v>registration</x:v>
      </x:c>
      <x:c r="B46" s="99" t="str">
        <x:v>ISO</x:v>
      </x:c>
      <x:c r="C46" s="99" t="str">
        <x:v>sha256:3c57560fdad255af8dddd4afe759bf3a638ced62cd0b435fbcb39f539ed4d5cd</x:v>
      </x:c>
    </x:row>
    <x:row r="47">
      <x:c r="A47" s="99" t="str">
        <x:v>registration</x:v>
      </x:c>
      <x:c r="B47" s="99" t="str">
        <x:v>Auto ISO Maximum</x:v>
      </x:c>
      <x:c r="C47" s="99" t="str">
        <x:v>sha256:215087f96f2c5d379e4931bbcffe7ea4f1ebe59cc0229f5dae23f52e08edbba5</x:v>
      </x:c>
    </x:row>
    <x:row r="48">
      <x:c r="A48" s="99" t="str">
        <x:v>registration</x:v>
      </x:c>
      <x:c r="B48" s="99" t="str">
        <x:v>AF Operation</x:v>
      </x:c>
      <x:c r="C48" s="99" t="str">
        <x:v>sha256:e52a8877636b9e990324e5e59a10b6b8a0723c7699f752ac41a4e39a25ed8c94</x:v>
      </x:c>
    </x:row>
    <x:row r="49">
      <x:c r="A49" s="99" t="str">
        <x:v>registration</x:v>
      </x:c>
      <x:c r="B49" s="99" t="str">
        <x:v>Servo AF Case</x:v>
      </x:c>
      <x:c r="C49" s="99" t="str">
        <x:v>sha256:7d49940351b317a763b5a0986fb61b4ddc79ee1d97ef9394e1ac26973ba4dfbc</x:v>
      </x:c>
    </x:row>
    <x:row r="50">
      <x:c r="A50" s="99" t="str">
        <x:v>registration</x:v>
      </x:c>
      <x:c r="B50" s="99" t="str">
        <x:v>AF Method</x:v>
      </x:c>
      <x:c r="C50" s="99" t="str">
        <x:v>sha256:ac30ce5e48a2e9e69db02806afb6a8c836dd8220dce399b57ed50b6ec3569d82</x:v>
      </x:c>
    </x:row>
    <x:row r="51">
      <x:c r="A51" s="99" t="str">
        <x:v>registration</x:v>
      </x:c>
      <x:c r="B51" s="99" t="str">
        <x:v>Subject Detection</x:v>
      </x:c>
      <x:c r="C51" s="99" t="str">
        <x:v>sha256:ca630f9c8761b1ba9bc261fc0264e1fdff6c6ebce7d3d60f68453c6e6c0fb66e</x:v>
      </x:c>
    </x:row>
    <x:row r="52">
      <x:c r="A52" s="99" t="str">
        <x:v>registration</x:v>
      </x:c>
      <x:c r="B52" s="99" t="str">
        <x:v>Eye Detection</x:v>
      </x:c>
      <x:c r="C52" s="99" t="str">
        <x:v>sha256:d4f49e58f189bc2a85058e8030bdba5867549892594d4961911a877fc7774cc1</x:v>
      </x:c>
    </x:row>
    <x:row r="53">
      <x:c r="A53" s="99" t="str">
        <x:v>registration</x:v>
      </x:c>
      <x:c r="B53" s="99" t="str">
        <x:v>Drive Mode</x:v>
      </x:c>
      <x:c r="C53" s="99" t="str">
        <x:v>sha256:a407ab25d86c6b32e4618dffadce1bc9f7375731cceb32a9b15154cb636bbc93</x:v>
      </x:c>
    </x:row>
    <x:row r="54">
      <x:c r="A54" s="99" t="str">
        <x:v>registration</x:v>
      </x:c>
      <x:c r="B54" s="99" t="str">
        <x:v>Shutter Type</x:v>
      </x:c>
      <x:c r="C54" s="99" t="str">
        <x:v>sha256:e0eb3a601149113b744968c8d35c10e22707716e94c780644837edcabff082bb</x:v>
      </x:c>
    </x:row>
    <x:row r="55">
      <x:c r="A55" s="99" t="str">
        <x:v>registration</x:v>
      </x:c>
      <x:c r="B55" s="99" t="str">
        <x:v>Image Stabilizer Mode</x:v>
      </x:c>
      <x:c r="C55" s="99" t="str">
        <x:v>sha256:cc5907ea77c17b747bda000cb9d24e886022b15d9be9b15be2fd7d3a6aa18fba</x:v>
      </x:c>
    </x:row>
    <x:row r="56">
      <x:c r="A56" s="99" t="str">
        <x:v>registration</x:v>
      </x:c>
      <x:c r="B56" s="99" t="str">
        <x:v>IBIS</x:v>
      </x:c>
      <x:c r="C56" s="99" t="str">
        <x:v>sha256:f88432494f6ce6fd467acf866dcb7285209af0daa97f23211b4c2e9a2fca510a</x:v>
      </x:c>
    </x:row>
    <x:row r="57">
      <x:c r="A57" s="99" t="str">
        <x:v>registration</x:v>
      </x:c>
      <x:c r="B57" s="99" t="str">
        <x:v>Focus Bracketing</x:v>
      </x:c>
      <x:c r="C57" s="99" t="str">
        <x:v>sha256:faa653558ccc3ca42def02cffceb2449676221f3e2b701a95cb76c734a606a66</x:v>
      </x:c>
    </x:row>
    <x:row r="58">
      <x:c r="A58" s="99" t="str">
        <x:v>registration</x:v>
      </x:c>
      <x:c r="B58" s="99" t="str">
        <x:v>Lens IS switch</x:v>
      </x:c>
      <x:c r="C58" s="99" t="str">
        <x:v>sha256:77c1f08d541f8a95c354155213e1184f193765664d2faca4e6245806067b6735</x:v>
      </x:c>
    </x:row>
  </x:sheetData>
  <x:pageMargins left="0.7" right="0.7" top="0.75" bottom="0.75" header="0.3" footer="0.3"/>
</x:worksheet>
</file>