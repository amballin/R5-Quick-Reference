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0859eed2d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dd3b255abf84147"/>
    <x:sheet xmlns:r="http://schemas.openxmlformats.org/officeDocument/2006/relationships" name="Checklist" sheetId="2" r:id="Rd80ae55914894df9"/>
    <x:sheet xmlns:r="http://schemas.openxmlformats.org/officeDocument/2006/relationships" name="C1-C3 Registration" sheetId="3" r:id="Ra1923562906246ec"/>
    <x:sheet xmlns:r="http://schemas.openxmlformats.org/officeDocument/2006/relationships" name="Sessions" sheetId="4" r:id="R43c5c6e2bb4546b7"/>
    <x:sheet xmlns:r="http://schemas.openxmlformats.org/officeDocument/2006/relationships" name="Lists" sheetId="5" r:id="Rfe8232d72e8549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1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20"/>
      <x:color rgb="FFFFFFFF"/>
      <x:name val="Carlito"/>
    </x:font>
    <x:font>
      <x:b/>
      <x:sz val="11"/>
      <x:color rgb="FF1F2937"/>
      <x:name val="Carlito"/>
    </x:font>
    <x:font>
      <x:b/>
      <x:sz val="20"/>
      <x:color rgb="FF17365D"/>
      <x:name val="Carlito"/>
    </x:font>
    <x:font>
      <x:b/>
      <x:sz val="11"/>
      <x:color rgb="FF375623"/>
      <x:name val="Carlito"/>
    </x:font>
    <x:font>
      <x:b/>
      <x:sz val="20"/>
      <x:color rgb="FF70AD47"/>
      <x:name val="Carlito"/>
    </x:font>
    <x:font>
      <x:b/>
      <x:sz val="11"/>
      <x:color rgb="FF7F6000"/>
      <x:name val="Carlito"/>
    </x:font>
    <x:font>
      <x:b/>
      <x:sz val="20"/>
      <x:color rgb="FFFFC000"/>
      <x:name val="Carlito"/>
    </x:font>
    <x:font>
      <x:b/>
      <x:sz val="11"/>
      <x:color rgb="FFC00000"/>
      <x:name val="Carlito"/>
    </x:font>
    <x:font>
      <x:b/>
      <x:sz val="20"/>
      <x:color rgb="FFC00000"/>
      <x:name val="Carlito"/>
    </x:font>
    <x:font>
      <x:sz val="11"/>
      <x:color rgb="FF1F29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9">
    <x:border/>
    <x:border>
      <x:left style="medium">
        <x:color rgb="FFD9E2F3"/>
      </x:left>
      <x:top style="medium">
        <x:color rgb="FFD9E2F3"/>
      </x:top>
    </x:border>
    <x:border>
      <x:right style="medium">
        <x:color rgb="FFD9E2F3"/>
      </x:right>
      <x:top style="medium">
        <x:color rgb="FFD9E2F3"/>
      </x:top>
    </x:border>
    <x:border>
      <x:left style="medium">
        <x:color rgb="FFD9E2F3"/>
      </x:left>
    </x:border>
    <x:border>
      <x:right style="medium">
        <x:color rgb="FFD9E2F3"/>
      </x:right>
    </x:border>
    <x:border>
      <x:left style="medium">
        <x:color rgb="FFD9E2F3"/>
      </x:left>
      <x:bottom style="medium">
        <x:color rgb="FFD9E2F3"/>
      </x:bottom>
    </x:border>
    <x:border>
      <x:right style="medium">
        <x:color rgb="FFD9E2F3"/>
      </x:right>
      <x:bottom style="medium">
        <x:color rgb="FFD9E2F3"/>
      </x:bottom>
    </x:border>
    <x:border>
      <x:top style="medium">
        <x:color rgb="FFD9E2F3"/>
      </x:top>
    </x:border>
    <x:border>
      <x:bottom style="medium">
        <x:color rgb="FFD9E2F3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0" fillId="6" borderId="3" xfId="0" applyNumberFormat="1" applyFont="1" applyFill="1" applyBorder="1" applyAlignment="1">
      <x:alignment horizontal="center" vertical="center"/>
    </x:xf>
    <x:xf numFmtId="0" fontId="0" fillId="6" borderId="4" xfId="0" applyNumberFormat="1" applyFont="1" applyFill="1" applyBorder="1" applyAlignment="1">
      <x:alignment horizontal="center" vertical="center"/>
    </x:xf>
    <x:xf numFmtId="0" fontId="0" fillId="6" borderId="5" xfId="0" applyNumberFormat="1" applyFont="1" applyFill="1" applyBorder="1" applyAlignment="1">
      <x:alignment horizontal="center" vertical="center"/>
    </x:xf>
    <x:xf numFmtId="0" fontId="0" fillId="6" borderId="6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6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horizontal="center" vertical="center"/>
    </x:xf>
    <x:xf numFmtId="0" fontId="0" fillId="7" borderId="2" xfId="0" applyNumberFormat="1" applyFont="1" applyFill="1" applyBorder="1" applyAlignment="1">
      <x:alignment horizontal="center" vertical="center"/>
    </x:xf>
    <x:xf numFmtId="0" fontId="7" fillId="7" borderId="1" xfId="0" applyNumberFormat="1" applyFont="1" applyFill="1" applyBorder="1" applyAlignment="1">
      <x:alignment horizontal="center" vertical="center"/>
    </x:xf>
    <x:xf numFmtId="0" fontId="7" fillId="7" borderId="2" xfId="0" applyNumberFormat="1" applyFont="1" applyFill="1" applyBorder="1" applyAlignment="1">
      <x:alignment horizontal="center" vertical="center"/>
    </x:xf>
    <x:xf numFmtId="0" fontId="8" fillId="6" borderId="3" xfId="0" applyNumberFormat="1" applyFont="1" applyFill="1" applyBorder="1" applyAlignment="1">
      <x:alignment horizontal="center" vertical="center"/>
    </x:xf>
    <x:xf numFmtId="0" fontId="8" fillId="6" borderId="4" xfId="0" applyNumberFormat="1" applyFont="1" applyFill="1" applyBorder="1" applyAlignment="1">
      <x:alignment horizontal="center" vertical="center"/>
    </x:xf>
    <x:xf numFmtId="0" fontId="8" fillId="6" borderId="5" xfId="0" applyNumberFormat="1" applyFont="1" applyFill="1" applyBorder="1" applyAlignment="1">
      <x:alignment horizontal="center" vertical="center"/>
    </x:xf>
    <x:xf numFmtId="0" fontId="8" fillId="6" borderId="6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 applyAlignment="1">
      <x:alignment horizontal="center" vertical="center"/>
    </x:xf>
    <x:xf numFmtId="0" fontId="0" fillId="8" borderId="2" xfId="0" applyNumberFormat="1" applyFont="1" applyFill="1" applyBorder="1" applyAlignment="1">
      <x:alignment horizontal="center" vertical="center"/>
    </x:xf>
    <x:xf numFmtId="0" fontId="9" fillId="8" borderId="1" xfId="0" applyNumberFormat="1" applyFont="1" applyFill="1" applyBorder="1" applyAlignment="1">
      <x:alignment horizontal="center" vertical="center"/>
    </x:xf>
    <x:xf numFmtId="0" fontId="9" fillId="8" borderId="2" xfId="0" applyNumberFormat="1" applyFont="1" applyFill="1" applyBorder="1" applyAlignment="1">
      <x:alignment horizontal="center" vertical="center"/>
    </x:xf>
    <x:xf numFmtId="0" fontId="10" fillId="6" borderId="3" xfId="0" applyNumberFormat="1" applyFont="1" applyFill="1" applyBorder="1" applyAlignment="1">
      <x:alignment horizontal="center" vertical="center"/>
    </x:xf>
    <x:xf numFmtId="0" fontId="10" fillId="6" borderId="4" xfId="0" applyNumberFormat="1" applyFont="1" applyFill="1" applyBorder="1" applyAlignment="1">
      <x:alignment horizontal="center" vertical="center"/>
    </x:xf>
    <x:xf numFmtId="0" fontId="10" fillId="6" borderId="5" xfId="0" applyNumberFormat="1" applyFont="1" applyFill="1" applyBorder="1" applyAlignment="1">
      <x:alignment horizontal="center" vertical="center"/>
    </x:xf>
    <x:xf numFmtId="0" fontId="10" fillId="6" borderId="6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 applyAlignment="1">
      <x:alignment horizontal="center" vertical="center"/>
    </x:xf>
    <x:xf numFmtId="0" fontId="0" fillId="9" borderId="2" xfId="0" applyNumberFormat="1" applyFont="1" applyFill="1" applyBorder="1" applyAlignment="1">
      <x:alignment horizontal="center" vertical="center"/>
    </x:xf>
    <x:xf numFmtId="0" fontId="11" fillId="9" borderId="1" xfId="0" applyNumberFormat="1" applyFont="1" applyFill="1" applyBorder="1" applyAlignment="1">
      <x:alignment horizontal="center" vertical="center"/>
    </x:xf>
    <x:xf numFmtId="0" fontId="11" fillId="9" borderId="2" xfId="0" applyNumberFormat="1" applyFont="1" applyFill="1" applyBorder="1" applyAlignment="1">
      <x:alignment horizontal="center" vertical="center"/>
    </x:xf>
    <x:xf numFmtId="0" fontId="12" fillId="6" borderId="3" xfId="0" applyNumberFormat="1" applyFont="1" applyFill="1" applyBorder="1" applyAlignment="1">
      <x:alignment horizontal="center" vertical="center"/>
    </x:xf>
    <x:xf numFmtId="0" fontId="12" fillId="6" borderId="4" xfId="0" applyNumberFormat="1" applyFont="1" applyFill="1" applyBorder="1" applyAlignment="1">
      <x:alignment horizontal="center" vertical="center"/>
    </x:xf>
    <x:xf numFmtId="0" fontId="12" fillId="6" borderId="5" xfId="0" applyNumberFormat="1" applyFont="1" applyFill="1" applyBorder="1" applyAlignment="1">
      <x:alignment horizontal="center" vertical="center"/>
    </x:xf>
    <x:xf numFmtId="0" fontId="12" fillId="6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/>
    <x:xf numFmtId="0" fontId="13" fillId="5" borderId="3" xfId="0" applyNumberFormat="1" applyFont="1" applyFill="1" applyBorder="1" applyAlignment="1">
      <x:alignment vertical="top" wrapText="1"/>
    </x:xf>
    <x:xf numFmtId="0" fontId="13" fillId="5" borderId="4" xfId="0" applyNumberFormat="1" applyFont="1" applyFill="1" applyBorder="1" applyAlignment="1">
      <x:alignment vertical="top" wrapText="1"/>
    </x:xf>
    <x:xf numFmtId="0" fontId="13" fillId="5" borderId="5" xfId="0" applyNumberFormat="1" applyFont="1" applyFill="1" applyBorder="1" applyAlignment="1">
      <x:alignment vertical="top" wrapText="1"/>
    </x:xf>
    <x:xf numFmtId="0" fontId="13" fillId="5" borderId="8" xfId="0" applyNumberFormat="1" applyFont="1" applyFill="1" applyBorder="1" applyAlignment="1">
      <x:alignment vertical="top" wrapText="1"/>
    </x:xf>
    <x:xf numFmtId="0" fontId="13" fillId="5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2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030A0"/>
      </x:font>
      <x:fill>
        <x:patternFill patternType="solid">
          <x:bgColor rgb="FFE4DFEC"/>
        </x:patternFill>
      </x:fill>
    </x:dxf>
    <x:dxf>
      <x:font>
        <x:b/>
        <x:color rgb="FF17365D"/>
      </x:font>
      <x:fill>
        <x:patternFill patternType="solid">
          <x:bgColor rgb="FFDDEBF7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DEBF7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6816856d29449e" /><Relationship Type="http://schemas.openxmlformats.org/officeDocument/2006/relationships/theme" Target="/xl/theme/theme1.xml" Id="R3d30619c18ed4c3f" /><Relationship Type="http://schemas.openxmlformats.org/officeDocument/2006/relationships/sharedStrings" Target="/xl/sharedStrings.xml" Id="R2850f6d5748748ac" /><Relationship Type="http://schemas.openxmlformats.org/officeDocument/2006/relationships/worksheet" Target="/xl/worksheets/sheet1.xml" Id="Radd3b255abf84147" /><Relationship Type="http://schemas.openxmlformats.org/officeDocument/2006/relationships/worksheet" Target="/xl/worksheets/sheet2.xml" Id="Rd80ae55914894df9" /><Relationship Type="http://schemas.openxmlformats.org/officeDocument/2006/relationships/worksheet" Target="/xl/worksheets/sheet3.xml" Id="Ra1923562906246ec" /><Relationship Type="http://schemas.openxmlformats.org/officeDocument/2006/relationships/worksheet" Target="/xl/worksheets/sheet4.xml" Id="R43c5c6e2bb4546b7" /><Relationship Type="http://schemas.openxmlformats.org/officeDocument/2006/relationships/worksheet" Target="/xl/worksheets/sheet5.xml" Id="Rfe8232d72e854952" /></Relationships>
</file>

<file path=xl/tables/table1.xml><?xml version="1.0" encoding="utf-8"?>
<x:table xmlns:x="http://schemas.openxmlformats.org/spreadsheetml/2006/main" id="1" name="VerificationChecklist" displayName="VerificationChecklist" ref="A4:O37" headerRowCount="1" totalsRowCount="0" totalsRowShown="0">
  <x:autoFilter ref="A4:O37"/>
  <x:tableColumns count="15">
    <x:tableColumn id="1" name="Test ID"/>
    <x:tableColumn id="2" name="Sequence"/>
    <x:tableColumn id="3" name="Phase"/>
    <x:tableColumn id="4" name="Task"/>
    <x:tableColumn id="5" name="Expected Result"/>
    <x:tableColumn id="6" name="Status"/>
    <x:tableColumn id="7" name="Test Date"/>
    <x:tableColumn id="8" name="Session ID"/>
    <x:tableColumn id="9" name="Evidence Files"/>
    <x:tableColumn id="10" name="Observation"/>
    <x:tableColumn id="11" name="Next Action"/>
    <x:tableColumn id="12" name="Evidence Class"/>
    <x:tableColumn id="13" name="Project Update?"/>
    <x:tableColumn id="14" name="Target Project Files"/>
    <x:tableColumn id="15" name="Updated in Proje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ModeRegistration" displayName="CustomModeRegistration" ref="A4:M21" headerRowCount="1" totalsRowCount="0" totalsRowShown="0">
  <x:autoFilter ref="A4:M21"/>
  <x:tableColumns count="13">
    <x:tableColumn id="1" name="Setting"/>
    <x:tableColumn id="2" name="C1 Wildlife Target"/>
    <x:tableColumn id="3" name="C1 Configured"/>
    <x:tableColumn id="4" name="C1 Read-back"/>
    <x:tableColumn id="5" name="C1 Notes"/>
    <x:tableColumn id="6" name="C2 Birds in Flight Target"/>
    <x:tableColumn id="7" name="C2 Configured"/>
    <x:tableColumn id="8" name="C2 Read-back"/>
    <x:tableColumn id="9" name="C2 Notes"/>
    <x:tableColumn id="10" name="C3 Landscape Target"/>
    <x:tableColumn id="11" name="C3 Configured"/>
    <x:tableColumn id="12" name="C3 Read-back"/>
    <x:tableColumn id="13" name="C3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rificationSessions" displayName="VerificationSessions" ref="A4:L24" headerRowCount="1" totalsRowCount="0" totalsRowShown="0">
  <x:autoFilter ref="A4:L24"/>
  <x:tableColumns count="12">
    <x:tableColumn id="1" name="Session ID"/>
    <x:tableColumn id="2" name="Date"/>
    <x:tableColumn id="3" name="Goal"/>
    <x:tableColumn id="4" name="Firmware"/>
    <x:tableColumn id="5" name="Battery / Charge"/>
    <x:tableColumn id="6" name="Lens"/>
    <x:tableColumn id="7" name="Flash / Trigger"/>
    <x:tableColumn id="8" name="Starting Backup"/>
    <x:tableColumn id="9" name="Image Range"/>
    <x:tableColumn id="10" name="Outcome"/>
    <x:tableColumn id="11" name="Next Session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bf8c2f51e64c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b9a909d82b42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5700ae158046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1" hidden="0" customWidth="1"/>
    <x:col min="8" max="8" width="17" hidden="0" customWidth="1"/>
  </x:cols>
  <x:sheetData>
    <x:row r="1" ht="28" customHeight="1">
      <x:c r="A1" s="21" t="str">
        <x:v>EOS R5 On-Camera Verification Progress</x:v>
      </x:c>
      <x:c r="B1" s="21"/>
      <x:c r="C1" s="21"/>
      <x:c r="D1" s="21"/>
      <x:c r="E1" s="21"/>
      <x:c r="F1" s="21"/>
      <x:c r="G1" s="21"/>
      <x:c r="H1" s="21"/>
    </x:row>
    <x:row r="2" ht="28" customHeight="1">
      <x:c r="A2" s="21"/>
      <x:c r="B2" s="21"/>
      <x:c r="C2" s="21"/>
      <x:c r="D2" s="21"/>
      <x:c r="E2" s="21"/>
      <x:c r="F2" s="21"/>
      <x:c r="G2" s="21"/>
      <x:c r="H2" s="21"/>
    </x:row>
    <x:row r="3" ht="28" customHeight="1">
      <x:c r="A3" s="11" t="str">
        <x:v>Non-published working tracker. Update the Checklist and C1-C3 Registration sheets during camera sessions. Only Verified, unambiguous results may be promoted to owner-confirmed project status.</x:v>
      </x:c>
      <x:c r="B3" s="11"/>
      <x:c r="C3" s="11"/>
      <x:c r="D3" s="11"/>
      <x:c r="E3" s="11"/>
      <x:c r="F3" s="11"/>
      <x:c r="G3" s="11"/>
      <x:c r="H3" s="11"/>
    </x:row>
    <x:row r="4" ht="28" customHeight="1">
      <x:c r="A4" s="11"/>
      <x:c r="B4" s="11"/>
      <x:c r="C4" s="11"/>
      <x:c r="D4" s="11"/>
      <x:c r="E4" s="11"/>
      <x:c r="F4" s="11"/>
      <x:c r="G4" s="11"/>
      <x:c r="H4" s="11"/>
    </x:row>
    <x:row r="6">
      <x:c r="A6" s="42" t="str">
        <x:v>Total checklist items</x:v>
      </x:c>
      <x:c r="B6" s="43"/>
      <x:c r="C6" s="54" t="str">
        <x:v>Verified</x:v>
      </x:c>
      <x:c r="D6" s="55"/>
      <x:c r="E6" s="62" t="str">
        <x:v>In progress / pending</x:v>
      </x:c>
      <x:c r="F6" s="63"/>
      <x:c r="G6" s="70" t="str">
        <x:v>Needs attention</x:v>
      </x:c>
      <x:c r="H6" s="71"/>
    </x:row>
    <x:row r="7">
      <x:c r="A7" s="48" t="n">
        <x:f>COUNTA('Checklist'!$A$5:$A$37)</x:f>
        <x:v>33</x:v>
      </x:c>
      <x:c r="B7" s="49"/>
      <x:c r="C7" s="56" t="n">
        <x:f>COUNTIF('Checklist'!$F$5:$F$37,"Verified")</x:f>
        <x:v>0</x:v>
      </x:c>
      <x:c r="D7" s="57"/>
      <x:c r="E7" s="64" t="n">
        <x:f>COUNTIF('Checklist'!$F$5:$F$37,"In progress")+COUNTIF('Checklist'!$F$5:$F$37,"Configured—not registered")+COUNTIF('Checklist'!$F$5:$F$37,"Registered—pending read-back")</x:f>
        <x:v>1</x:v>
      </x:c>
      <x:c r="F7" s="65"/>
      <x:c r="G7" s="72" t="n">
        <x:f>COUNTIF('Checklist'!$F$5:$F$37,"Failed—needs correction")+COUNTIF('Checklist'!$F$5:$F$37,"Inconclusive—needs retest")+COUNTIF('Checklist'!$F$5:$F$37,"Blocked")</x:f>
        <x:v>1</x:v>
      </x:c>
      <x:c r="H7" s="73"/>
    </x:row>
    <x:row r="8">
      <x:c r="A8" s="50"/>
      <x:c r="B8" s="51"/>
      <x:c r="C8" s="58"/>
      <x:c r="D8" s="59"/>
      <x:c r="E8" s="66"/>
      <x:c r="F8" s="67"/>
      <x:c r="G8" s="74"/>
      <x:c r="H8" s="75"/>
    </x:row>
    <x:row r="11">
      <x:c r="A11" s="77" t="str">
        <x:v>Phase</x:v>
      </x:c>
      <x:c r="B11" s="77" t="str">
        <x:v>Total</x:v>
      </x:c>
      <x:c r="C11" s="77" t="str">
        <x:v>Verified</x:v>
      </x:c>
      <x:c r="D11" s="77" t="str">
        <x:v>Attention</x:v>
      </x:c>
      <x:c r="E11" s="77" t="str">
        <x:v>Completion</x:v>
      </x:c>
      <x:c r="G11" s="77" t="str">
        <x:v>Status</x:v>
      </x:c>
      <x:c r="H11" s="77" t="str">
        <x:v>Count</x:v>
      </x:c>
    </x:row>
    <x:row r="12">
      <x:c r="A12" s="5" t="str">
        <x:v>Camera Setup</x:v>
      </x:c>
      <x:c r="B12" s="78" t="n">
        <x:f>COUNTIF('Checklist'!$C$5:$C$37,A12)</x:f>
        <x:v>7</x:v>
      </x:c>
      <x:c r="C12" s="78" t="n">
        <x:f>COUNTIFS('Checklist'!$C$5:$C$37,A12,'Checklist'!$F$5:$F$37,"Verified")</x:f>
        <x:v>0</x:v>
      </x:c>
      <x:c r="D12" s="78" t="n">
        <x:f>COUNTIFS('Checklist'!$C$5:$C$37,A12,'Checklist'!$F$5:$F$37,"Failed—needs correction")+COUNTIFS('Checklist'!$C$5:$C$37,A12,'Checklist'!$F$5:$F$37,"Inconclusive—needs retest")+COUNTIFS('Checklist'!$C$5:$C$37,A12,'Checklist'!$F$5:$F$37,"Blocked")</x:f>
        <x:v>0</x:v>
      </x:c>
      <x:c r="E12" s="79" t="n">
        <x:f>IF(B12=0,0,C12/B12)</x:f>
        <x:v>0</x:v>
      </x:c>
      <x:c r="G12" s="5" t="str">
        <x:v>Not started</x:v>
      </x:c>
      <x:c r="H12" s="78" t="n">
        <x:f>COUNTIF('Checklist'!$F$5:$F$37,G12)</x:f>
        <x:v>31</x:v>
      </x:c>
    </x:row>
    <x:row r="13">
      <x:c r="A13" s="5" t="str">
        <x:v>Controls</x:v>
      </x:c>
      <x:c r="B13" s="78" t="n">
        <x:f>COUNTIF('Checklist'!$C$5:$C$37,A13)</x:f>
        <x:v>6</x:v>
      </x:c>
      <x:c r="C13" s="78" t="n">
        <x:f>COUNTIFS('Checklist'!$C$5:$C$37,A13,'Checklist'!$F$5:$F$37,"Verified")</x:f>
        <x:v>0</x:v>
      </x:c>
      <x:c r="D13" s="78" t="n">
        <x:f>COUNTIFS('Checklist'!$C$5:$C$37,A13,'Checklist'!$F$5:$F$37,"Failed—needs correction")+COUNTIFS('Checklist'!$C$5:$C$37,A13,'Checklist'!$F$5:$F$37,"Inconclusive—needs retest")+COUNTIFS('Checklist'!$C$5:$C$37,A13,'Checklist'!$F$5:$F$37,"Blocked")</x:f>
        <x:v>0</x:v>
      </x:c>
      <x:c r="E13" s="79" t="n">
        <x:f>IF(B13=0,0,C13/B13)</x:f>
        <x:v>0</x:v>
      </x:c>
      <x:c r="G13" s="5" t="str">
        <x:v>In progress</x:v>
      </x:c>
      <x:c r="H13" s="78" t="n">
        <x:f>COUNTIF('Checklist'!$F$5:$F$37,G13)</x:f>
        <x:v>0</x:v>
      </x:c>
    </x:row>
    <x:row r="14">
      <x:c r="A14" s="5" t="str">
        <x:v>C1 Wildlife</x:v>
      </x:c>
      <x:c r="B14" s="78" t="n">
        <x:f>COUNTIF('Checklist'!$C$5:$C$37,A14)</x:f>
        <x:v>4</x:v>
      </x:c>
      <x:c r="C14" s="78" t="n">
        <x:f>COUNTIFS('Checklist'!$C$5:$C$37,A14,'Checklist'!$F$5:$F$37,"Verified")</x:f>
        <x:v>0</x:v>
      </x:c>
      <x:c r="D14" s="78" t="n">
        <x:f>COUNTIFS('Checklist'!$C$5:$C$37,A14,'Checklist'!$F$5:$F$37,"Failed—needs correction")+COUNTIFS('Checklist'!$C$5:$C$37,A14,'Checklist'!$F$5:$F$37,"Inconclusive—needs retest")+COUNTIFS('Checklist'!$C$5:$C$37,A14,'Checklist'!$F$5:$F$37,"Blocked")</x:f>
        <x:v>0</x:v>
      </x:c>
      <x:c r="E14" s="79" t="n">
        <x:f>IF(B14=0,0,C14/B14)</x:f>
        <x:v>0</x:v>
      </x:c>
      <x:c r="G14" s="5" t="str">
        <x:v>Configured—not registered</x:v>
      </x:c>
      <x:c r="H14" s="78" t="n">
        <x:f>COUNTIF('Checklist'!$F$5:$F$37,G14)</x:f>
        <x:v>0</x:v>
      </x:c>
    </x:row>
    <x:row r="15">
      <x:c r="A15" s="5" t="str">
        <x:v>C2 Birds in Flight</x:v>
      </x:c>
      <x:c r="B15" s="78" t="n">
        <x:f>COUNTIF('Checklist'!$C$5:$C$37,A15)</x:f>
        <x:v>4</x:v>
      </x:c>
      <x:c r="C15" s="78" t="n">
        <x:f>COUNTIFS('Checklist'!$C$5:$C$37,A15,'Checklist'!$F$5:$F$37,"Verified")</x:f>
        <x:v>0</x:v>
      </x:c>
      <x:c r="D15" s="78" t="n">
        <x:f>COUNTIFS('Checklist'!$C$5:$C$37,A15,'Checklist'!$F$5:$F$37,"Failed—needs correction")+COUNTIFS('Checklist'!$C$5:$C$37,A15,'Checklist'!$F$5:$F$37,"Inconclusive—needs retest")+COUNTIFS('Checklist'!$C$5:$C$37,A15,'Checklist'!$F$5:$F$37,"Blocked")</x:f>
        <x:v>0</x:v>
      </x:c>
      <x:c r="E15" s="79" t="n">
        <x:f>IF(B15=0,0,C15/B15)</x:f>
        <x:v>0</x:v>
      </x:c>
      <x:c r="G15" s="5" t="str">
        <x:v>Registered—pending read-back</x:v>
      </x:c>
      <x:c r="H15" s="78" t="n">
        <x:f>COUNTIF('Checklist'!$F$5:$F$37,G15)</x:f>
        <x:v>1</x:v>
      </x:c>
    </x:row>
    <x:row r="16">
      <x:c r="A16" s="5" t="str">
        <x:v>C3 Landscape</x:v>
      </x:c>
      <x:c r="B16" s="78" t="n">
        <x:f>COUNTIF('Checklist'!$C$5:$C$37,A16)</x:f>
        <x:v>4</x:v>
      </x:c>
      <x:c r="C16" s="78" t="n">
        <x:f>COUNTIFS('Checklist'!$C$5:$C$37,A16,'Checklist'!$F$5:$F$37,"Verified")</x:f>
        <x:v>0</x:v>
      </x:c>
      <x:c r="D16" s="78" t="n">
        <x:f>COUNTIFS('Checklist'!$C$5:$C$37,A16,'Checklist'!$F$5:$F$37,"Failed—needs correction")+COUNTIFS('Checklist'!$C$5:$C$37,A16,'Checklist'!$F$5:$F$37,"Inconclusive—needs retest")+COUNTIFS('Checklist'!$C$5:$C$37,A16,'Checklist'!$F$5:$F$37,"Blocked")</x:f>
        <x:v>0</x:v>
      </x:c>
      <x:c r="E16" s="79" t="n">
        <x:f>IF(B16=0,0,C16/B16)</x:f>
        <x:v>0</x:v>
      </x:c>
      <x:c r="G16" s="5" t="str">
        <x:v>Verified</x:v>
      </x:c>
      <x:c r="H16" s="78" t="n">
        <x:f>COUNTIF('Checklist'!$F$5:$F$37,G16)</x:f>
        <x:v>0</x:v>
      </x:c>
    </x:row>
    <x:row r="17">
      <x:c r="A17" s="5" t="str">
        <x:v>EFCS Tests</x:v>
      </x:c>
      <x:c r="B17" s="78" t="n">
        <x:f>COUNTIF('Checklist'!$C$5:$C$37,A17)</x:f>
        <x:v>5</x:v>
      </x:c>
      <x:c r="C17" s="78" t="n">
        <x:f>COUNTIFS('Checklist'!$C$5:$C$37,A17,'Checklist'!$F$5:$F$37,"Verified")</x:f>
        <x:v>0</x:v>
      </x:c>
      <x:c r="D17" s="78" t="n">
        <x:f>COUNTIFS('Checklist'!$C$5:$C$37,A17,'Checklist'!$F$5:$F$37,"Failed—needs correction")+COUNTIFS('Checklist'!$C$5:$C$37,A17,'Checklist'!$F$5:$F$37,"Inconclusive—needs retest")+COUNTIFS('Checklist'!$C$5:$C$37,A17,'Checklist'!$F$5:$F$37,"Blocked")</x:f>
        <x:v>0</x:v>
      </x:c>
      <x:c r="E17" s="79" t="n">
        <x:f>IF(B17=0,0,C17/B17)</x:f>
        <x:v>0</x:v>
      </x:c>
      <x:c r="G17" s="5" t="str">
        <x:v>Failed—needs correction</x:v>
      </x:c>
      <x:c r="H17" s="78" t="n">
        <x:f>COUNTIF('Checklist'!$F$5:$F$37,G17)</x:f>
        <x:v>0</x:v>
      </x:c>
    </x:row>
    <x:row r="18">
      <x:c r="A18" s="5" t="str">
        <x:v>Finalization</x:v>
      </x:c>
      <x:c r="B18" s="78" t="n">
        <x:f>COUNTIF('Checklist'!$C$5:$C$37,A18)</x:f>
        <x:v>2</x:v>
      </x:c>
      <x:c r="C18" s="78" t="n">
        <x:f>COUNTIFS('Checklist'!$C$5:$C$37,A18,'Checklist'!$F$5:$F$37,"Verified")</x:f>
        <x:v>0</x:v>
      </x:c>
      <x:c r="D18" s="78" t="n">
        <x:f>COUNTIFS('Checklist'!$C$5:$C$37,A18,'Checklist'!$F$5:$F$37,"Failed—needs correction")+COUNTIFS('Checklist'!$C$5:$C$37,A18,'Checklist'!$F$5:$F$37,"Inconclusive—needs retest")+COUNTIFS('Checklist'!$C$5:$C$37,A18,'Checklist'!$F$5:$F$37,"Blocked")</x:f>
        <x:v>0</x:v>
      </x:c>
      <x:c r="E18" s="79" t="n">
        <x:f>IF(B18=0,0,C18/B18)</x:f>
        <x:v>0</x:v>
      </x:c>
      <x:c r="G18" s="5" t="str">
        <x:v>Inconclusive—needs retest</x:v>
      </x:c>
      <x:c r="H18" s="78" t="n">
        <x:f>COUNTIF('Checklist'!$F$5:$F$37,G18)</x:f>
        <x:v>0</x:v>
      </x:c>
    </x:row>
    <x:row r="19">
      <x:c r="A19" s="5" t="str">
        <x:v>Project Update</x:v>
      </x:c>
      <x:c r="B19" s="78" t="n">
        <x:f>COUNTIF('Checklist'!$C$5:$C$37,A19)</x:f>
        <x:v>1</x:v>
      </x:c>
      <x:c r="C19" s="78" t="n">
        <x:f>COUNTIFS('Checklist'!$C$5:$C$37,A19,'Checklist'!$F$5:$F$37,"Verified")</x:f>
        <x:v>0</x:v>
      </x:c>
      <x:c r="D19" s="78" t="n">
        <x:f>COUNTIFS('Checklist'!$C$5:$C$37,A19,'Checklist'!$F$5:$F$37,"Failed—needs correction")+COUNTIFS('Checklist'!$C$5:$C$37,A19,'Checklist'!$F$5:$F$37,"Inconclusive—needs retest")+COUNTIFS('Checklist'!$C$5:$C$37,A19,'Checklist'!$F$5:$F$37,"Blocked")</x:f>
        <x:v>1</x:v>
      </x:c>
      <x:c r="E19" s="79" t="n">
        <x:f>IF(B19=0,0,C19/B19)</x:f>
        <x:v>0</x:v>
      </x:c>
      <x:c r="G19" s="5" t="str">
        <x:v>Blocked</x:v>
      </x:c>
      <x:c r="H19" s="78" t="n">
        <x:f>COUNTIF('Checklist'!$F$5:$F$37,G19)</x:f>
        <x:v>1</x:v>
      </x:c>
    </x:row>
    <x:row r="20">
      <x:c r="G20" s="5" t="str">
        <x:v>Not applicable</x:v>
      </x:c>
      <x:c r="H20" s="78" t="n">
        <x:f>COUNTIF('Checklist'!$F$5:$F$37,G20)</x:f>
        <x:v>0</x:v>
      </x:c>
    </x:row>
    <x:row r="22">
      <x:c r="A22" s="84" t="str">
        <x:v>Recommended workflow</x:v>
      </x:c>
      <x:c r="B22" s="85"/>
      <x:c r="C22" s="85"/>
      <x:c r="D22" s="85"/>
      <x:c r="E22" s="85"/>
      <x:c r="F22" s="85"/>
      <x:c r="G22" s="85"/>
      <x:c r="H22" s="86"/>
    </x:row>
    <x:row r="23">
      <x:c r="A23" s="87" t="str">
        <x:v>1. Open Checklist and filter Status to anything except Verified.
2. Work in Sequence order and use one Session ID for each camera session.
3. Update C1-C3 Registration as each setting is configured and read back.
4. Filter Project Update? = Yes and Status = Verified before changing project evidence states.</x:v>
      </x:c>
      <x:c r="B23" s="83"/>
      <x:c r="C23" s="83"/>
      <x:c r="D23" s="83"/>
      <x:c r="E23" s="83"/>
      <x:c r="F23" s="83"/>
      <x:c r="G23" s="83"/>
      <x:c r="H23" s="88"/>
    </x:row>
    <x:row r="24">
      <x:c r="A24" s="87"/>
      <x:c r="B24" s="83"/>
      <x:c r="C24" s="83"/>
      <x:c r="D24" s="83"/>
      <x:c r="E24" s="83"/>
      <x:c r="F24" s="83"/>
      <x:c r="G24" s="83"/>
      <x:c r="H24" s="88"/>
    </x:row>
    <x:row r="25">
      <x:c r="A25" s="87"/>
      <x:c r="B25" s="83"/>
      <x:c r="C25" s="83"/>
      <x:c r="D25" s="83"/>
      <x:c r="E25" s="83"/>
      <x:c r="F25" s="83"/>
      <x:c r="G25" s="83"/>
      <x:c r="H25" s="88"/>
    </x:row>
    <x:row r="26">
      <x:c r="A26" s="89"/>
      <x:c r="B26" s="90"/>
      <x:c r="C26" s="90"/>
      <x:c r="D26" s="90"/>
      <x:c r="E26" s="90"/>
      <x:c r="F26" s="90"/>
      <x:c r="G26" s="90"/>
      <x:c r="H26" s="91"/>
    </x:row>
  </x:sheetData>
  <x:mergeCells>
    <x:mergeCell ref="A1:H2"/>
    <x:mergeCell ref="A3:H4"/>
    <x:mergeCell ref="A6:B6"/>
    <x:mergeCell ref="A7:B8"/>
    <x:mergeCell ref="C6:D6"/>
    <x:mergeCell ref="C7:D8"/>
    <x:mergeCell ref="E6:F6"/>
    <x:mergeCell ref="E7:F8"/>
    <x:mergeCell ref="G6:H6"/>
    <x:mergeCell ref="G7:H8"/>
    <x:mergeCell ref="A22:H22"/>
    <x:mergeCell ref="A23:H26"/>
  </x:mergeCells>
  <x:conditionalFormatting sqref="E12:E19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70AD47"/>
            </x14:dataBar>
          </x14:cfRule>
          <xm:sqref>E12:E19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0" hidden="0" customWidth="1"/>
    <x:col min="3" max="3" width="23" hidden="0" customWidth="1"/>
    <x:col min="4" max="4" width="48" hidden="0" customWidth="1"/>
    <x:col min="5" max="5" width="49" hidden="0" customWidth="1"/>
    <x:col min="6" max="6" width="29" hidden="0" customWidth="1"/>
    <x:col min="7" max="7" width="14" hidden="0" customWidth="1"/>
    <x:col min="8" max="8" width="16" hidden="0" customWidth="1"/>
    <x:col min="9" max="9" width="24" hidden="0" customWidth="1"/>
    <x:col min="10" max="10" width="42" hidden="0" customWidth="1"/>
    <x:col min="11" max="11" width="42" hidden="0" customWidth="1"/>
    <x:col min="12" max="12" width="34" hidden="0" customWidth="1"/>
    <x:col min="13" max="13" width="18" hidden="0" customWidth="1"/>
    <x:col min="14" max="14" width="40" hidden="0" customWidth="1"/>
    <x:col min="15" max="15" width="20" hidden="0" customWidth="1"/>
  </x:cols>
  <x:sheetData>
    <x:row r="1" ht="28" customHeight="1">
      <x:c r="A1" s="7" t="str">
        <x:v>EOS R5 On-Camera Verification Tracker — Detailed Checklist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</x:row>
    <x:row r="2" ht="38" customHeight="1">
      <x:c r="A2" s="11" t="str">
        <x:v>Update Status, Test Date, Session ID, evidence, observations, and next action during testing. Only Verified evidence should be considered for project promotion.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4" ht="32" customHeight="1">
      <x:c r="A4" s="15" t="str">
        <x:v>Test ID</x:v>
      </x:c>
      <x:c r="B4" s="15" t="str">
        <x:v>Sequence</x:v>
      </x:c>
      <x:c r="C4" s="15" t="str">
        <x:v>Phase</x:v>
      </x:c>
      <x:c r="D4" s="15" t="str">
        <x:v>Task</x:v>
      </x:c>
      <x:c r="E4" s="15" t="str">
        <x:v>Expected Result</x:v>
      </x:c>
      <x:c r="F4" s="15" t="str">
        <x:v>Status</x:v>
      </x:c>
      <x:c r="G4" s="15" t="str">
        <x:v>Test Date</x:v>
      </x:c>
      <x:c r="H4" s="15" t="str">
        <x:v>Session ID</x:v>
      </x:c>
      <x:c r="I4" s="15" t="str">
        <x:v>Evidence Files</x:v>
      </x:c>
      <x:c r="J4" s="15" t="str">
        <x:v>Observation</x:v>
      </x:c>
      <x:c r="K4" s="15" t="str">
        <x:v>Next Action</x:v>
      </x:c>
      <x:c r="L4" s="15" t="str">
        <x:v>Evidence Class</x:v>
      </x:c>
      <x:c r="M4" s="15" t="str">
        <x:v>Project Update?</x:v>
      </x:c>
      <x:c r="N4" s="15" t="str">
        <x:v>Target Project Files</x:v>
      </x:c>
      <x:c r="O4" s="15" t="str">
        <x:v>Updated in Project</x:v>
      </x:c>
    </x:row>
    <x:row r="5">
      <x:c r="A5" t="str">
        <x:v>SETUP-01</x:v>
      </x:c>
      <x:c r="B5" t="n">
        <x:v>1</x:v>
      </x:c>
      <x:c r="C5" t="str">
        <x:v>Camera Setup</x:v>
      </x:c>
      <x:c r="D5" s="16" t="str">
        <x:v>Save the current complete camera configuration to the card.</x:v>
      </x:c>
      <x:c r="E5" s="16" t="str">
        <x:v>A recoverable pre-test camera-settings file exists and its filename is recorded.</x:v>
      </x:c>
      <x:c r="F5" s="16" t="str">
        <x:v>Not started</x:v>
      </x:c>
      <x:c r="G5" s="17"/>
      <x:c r="H5" s="16" t="str"/>
      <x:c r="I5" s="16" t="str"/>
      <x:c r="J5" s="16" t="str"/>
      <x:c r="K5" s="16" t="str">
        <x:v>Insert card and save the current configuration.</x:v>
      </x:c>
      <x:c r="L5" s="16" t="str">
        <x:v>Approved target pending verification</x:v>
      </x:c>
      <x:c r="M5" s="16" t="str">
        <x:v>No</x:v>
      </x:c>
      <x:c r="N5" s="16" t="str"/>
      <x:c r="O5" s="16" t="str">
        <x:v>Not applicable</x:v>
      </x:c>
    </x:row>
    <x:row r="6">
      <x:c r="A6" t="str">
        <x:v>SETUP-02</x:v>
      </x:c>
      <x:c r="B6" t="n">
        <x:v>2</x:v>
      </x:c>
      <x:c r="C6" t="str">
        <x:v>Camera Setup</x:v>
      </x:c>
      <x:c r="D6" s="16" t="str">
        <x:v>Record current C1, C2, and C3 contents before changing them.</x:v>
      </x:c>
      <x:c r="E6" s="16" t="str">
        <x:v>Existing registrations are documented before any slot is overwritten.</x:v>
      </x:c>
      <x:c r="F6" s="16" t="str">
        <x:v>Not started</x:v>
      </x:c>
      <x:c r="G6" s="17"/>
      <x:c r="H6" s="16" t="str"/>
      <x:c r="I6" s="16" t="str"/>
      <x:c r="J6" s="16" t="str"/>
      <x:c r="K6" s="16" t="str">
        <x:v>Photograph or write down all three current slots.</x:v>
      </x:c>
      <x:c r="L6" s="16" t="str">
        <x:v>Approved target pending verification</x:v>
      </x:c>
      <x:c r="M6" s="16" t="str">
        <x:v>No</x:v>
      </x:c>
      <x:c r="N6" s="16" t="str"/>
      <x:c r="O6" s="16" t="str">
        <x:v>Not applicable</x:v>
      </x:c>
    </x:row>
    <x:row r="7">
      <x:c r="A7" t="str">
        <x:v>SETUP-03</x:v>
      </x:c>
      <x:c r="B7" t="n">
        <x:v>3</x:v>
      </x:c>
      <x:c r="C7" t="str">
        <x:v>Camera Setup</x:v>
      </x:c>
      <x:c r="D7" s="16" t="str">
        <x:v>Set Custom shooting mode Auto update to Disable.</x:v>
      </x:c>
      <x:c r="E7" s="16" t="str">
        <x:v>Temporary field changes cannot silently rewrite a registered custom mode.</x:v>
      </x:c>
      <x:c r="F7" s="16" t="str">
        <x:v>Not started</x:v>
      </x:c>
      <x:c r="G7" s="17"/>
      <x:c r="H7" s="16" t="str"/>
      <x:c r="I7" s="16" t="str"/>
      <x:c r="J7" s="16" t="str">
        <x:v>Auto update must remain disabled throughout.</x:v>
      </x:c>
      <x:c r="K7" s="16" t="str">
        <x:v>Open the Custom shooting mode menu and disable Auto update.</x:v>
      </x:c>
      <x:c r="L7" s="16" t="str">
        <x:v>Approved target pending verification</x:v>
      </x:c>
      <x:c r="M7" s="16" t="str">
        <x:v>Yes</x:v>
      </x:c>
      <x:c r="N7" s="16" t="str">
        <x:v>controls.md; Camera Setup Essentials; project memory</x:v>
      </x:c>
      <x:c r="O7" s="16" t="str">
        <x:v>No</x:v>
      </x:c>
    </x:row>
    <x:row r="8">
      <x:c r="A8" t="str">
        <x:v>SETUP-04</x:v>
      </x:c>
      <x:c r="B8" t="n">
        <x:v>4</x:v>
      </x:c>
      <x:c r="C8" t="str">
        <x:v>Camera Setup</x:v>
      </x:c>
      <x:c r="D8" s="16" t="str">
        <x:v>Confirm cRAW, Full-frame, Evaluative metering, and Auto ISO maximum 12800.</x:v>
      </x:c>
      <x:c r="E8" s="16" t="str">
        <x:v>Shared capture and exposure defaults match the reference baseline.</x:v>
      </x:c>
      <x:c r="F8" s="16" t="str">
        <x:v>Not started</x:v>
      </x:c>
      <x:c r="G8" s="17"/>
      <x:c r="H8" s="16" t="str"/>
      <x:c r="I8" s="16" t="str"/>
      <x:c r="J8" s="16" t="str"/>
      <x:c r="K8" s="16" t="str">
        <x:v>Check Camera Setup Essentials and Camera Defaults.</x:v>
      </x:c>
      <x:c r="L8" s="16" t="str">
        <x:v>Approved target pending verification</x:v>
      </x:c>
      <x:c r="M8" s="16" t="str">
        <x:v>Yes</x:v>
      </x:c>
      <x:c r="N8" s="16" t="str">
        <x:v>00 Master/baseline.yaml; Camera Setup Essentials</x:v>
      </x:c>
      <x:c r="O8" s="16" t="str">
        <x:v>No</x:v>
      </x:c>
    </x:row>
    <x:row r="9">
      <x:c r="A9" t="str">
        <x:v>SETUP-05</x:v>
      </x:c>
      <x:c r="B9" t="n">
        <x:v>5</x:v>
      </x:c>
      <x:c r="C9" t="str">
        <x:v>Camera Setup</x:v>
      </x:c>
      <x:c r="D9" s="16" t="str">
        <x:v>Confirm RGB histogram and highlight alert are enabled.</x:v>
      </x:c>
      <x:c r="E9" s="16" t="str">
        <x:v>Exposure review tools are available in every profile.</x:v>
      </x:c>
      <x:c r="F9" s="16" t="str">
        <x:v>Not started</x:v>
      </x:c>
      <x:c r="G9" s="17"/>
      <x:c r="H9" s="16" t="str"/>
      <x:c r="I9" s="16" t="str"/>
      <x:c r="J9" s="16" t="str"/>
      <x:c r="K9" s="16" t="str">
        <x:v>Check display settings.</x:v>
      </x:c>
      <x:c r="L9" s="16" t="str">
        <x:v>Approved target pending verification</x:v>
      </x:c>
      <x:c r="M9" s="16" t="str">
        <x:v>Yes</x:v>
      </x:c>
      <x:c r="N9" s="16" t="str">
        <x:v>00 Master/baseline.yaml; Camera Setup Essentials</x:v>
      </x:c>
      <x:c r="O9" s="16" t="str">
        <x:v>No</x:v>
      </x:c>
    </x:row>
    <x:row r="10">
      <x:c r="A10" t="str">
        <x:v>SETUP-06</x:v>
      </x:c>
      <x:c r="B10" t="n">
        <x:v>6</x:v>
      </x:c>
      <x:c r="C10" t="str">
        <x:v>Camera Setup</x:v>
      </x:c>
      <x:c r="D10" s="16" t="str">
        <x:v>Confirm High ISO NR, Long Exposure NR, Continuous AF, Electronic full-time MF, and IBIS High Resolution Shot are Off.</x:v>
      </x:c>
      <x:c r="E10" s="16" t="str">
        <x:v>Specialty functions do not interfere with the verification session.</x:v>
      </x:c>
      <x:c r="F10" s="16" t="str">
        <x:v>Not started</x:v>
      </x:c>
      <x:c r="G10" s="17"/>
      <x:c r="H10" s="16" t="str"/>
      <x:c r="I10" s="16" t="str"/>
      <x:c r="J10" s="16" t="str"/>
      <x:c r="K10" s="16" t="str">
        <x:v>Review Set &amp; Forget settings.</x:v>
      </x:c>
      <x:c r="L10" s="16" t="str">
        <x:v>Approved target pending verification</x:v>
      </x:c>
      <x:c r="M10" s="16" t="str">
        <x:v>Yes</x:v>
      </x:c>
      <x:c r="N10" s="16" t="str">
        <x:v>00 Master/baseline.yaml; Camera Setup Essentials</x:v>
      </x:c>
      <x:c r="O10" s="16" t="str">
        <x:v>No</x:v>
      </x:c>
    </x:row>
    <x:row r="11">
      <x:c r="A11" t="str">
        <x:v>SETUP-07</x:v>
      </x:c>
      <x:c r="B11" t="n">
        <x:v>7</x:v>
      </x:c>
      <x:c r="C11" t="str">
        <x:v>Camera Setup</x:v>
      </x:c>
      <x:c r="D11" s="16" t="str">
        <x:v>Confirm MF Peaking is On, Low, Red.</x:v>
      </x:c>
      <x:c r="E11" s="16" t="str">
        <x:v>Manual-focus aid matches the approved setup.</x:v>
      </x:c>
      <x:c r="F11" s="16" t="str">
        <x:v>Not started</x:v>
      </x:c>
      <x:c r="G11" s="17"/>
      <x:c r="H11" s="16" t="str"/>
      <x:c r="I11" s="16" t="str"/>
      <x:c r="J11" s="16" t="str"/>
      <x:c r="K11" s="16" t="str">
        <x:v>Review MF Peaking settings.</x:v>
      </x:c>
      <x:c r="L11" s="16" t="str">
        <x:v>Approved target pending verification</x:v>
      </x:c>
      <x:c r="M11" s="16" t="str">
        <x:v>Yes</x:v>
      </x:c>
      <x:c r="N11" s="16" t="str">
        <x:v>Camera Setup Essentials; R5 Quick Reference</x:v>
      </x:c>
      <x:c r="O11" s="16" t="str">
        <x:v>No</x:v>
      </x:c>
    </x:row>
    <x:row r="12">
      <x:c r="A12" t="str">
        <x:v>CTRL-CONFIG-01</x:v>
      </x:c>
      <x:c r="B12" t="n">
        <x:v>8</x:v>
      </x:c>
      <x:c r="C12" t="str">
        <x:v>Controls</x:v>
      </x:c>
      <x:c r="D12" s="16" t="str">
        <x:v>Configure shutter half-press, AF-ON, AE Lock, AF Point Selection, Lens AF, DOF, SET, joystick, dials, Control Ring, and M-Fn.</x:v>
      </x:c>
      <x:c r="E12" s="16" t="str">
        <x:v>Every shared physical control matches the approved assignment and INFO details.</x:v>
      </x:c>
      <x:c r="F12" s="16" t="str">
        <x:v>Not started</x:v>
      </x:c>
      <x:c r="G12" s="17"/>
      <x:c r="H12" s="16" t="str"/>
      <x:c r="I12" s="16" t="str"/>
      <x:c r="J12" s="16" t="str"/>
      <x:c r="K12" s="16" t="str">
        <x:v>Configure each control before registering C1.</x:v>
      </x:c>
      <x:c r="L12" s="16" t="str">
        <x:v>Approved target pending verification</x:v>
      </x:c>
      <x:c r="M12" s="16" t="str">
        <x:v>Yes</x:v>
      </x:c>
      <x:c r="N12" s="16" t="str">
        <x:v>controls.md; data/canon_r5_custom_controls_current.yaml; Back-Button AF guide</x:v>
      </x:c>
      <x:c r="O12" s="16" t="str">
        <x:v>No</x:v>
      </x:c>
    </x:row>
    <x:row r="13">
      <x:c r="A13" t="str">
        <x:v>C1-CONFIG-01</x:v>
      </x:c>
      <x:c r="B13" t="n">
        <x:v>9</x:v>
      </x:c>
      <x:c r="C13" t="str">
        <x:v>C1 Wildlife</x:v>
      </x:c>
      <x:c r="D13" s="16" t="str">
        <x:v>Build the complete C1 Wildlife environment in a normal shooting mode.</x:v>
      </x:c>
      <x:c r="E13" s="16" t="str">
        <x:v>Every C1 target setting matches the C1–C3 Registration sheet.</x:v>
      </x:c>
      <x:c r="F13" s="16" t="str">
        <x:v>Registered—pending read-back</x:v>
      </x:c>
      <x:c r="G13" s="17"/>
      <x:c r="H13" s="16" t="str"/>
      <x:c r="I13" s="16" t="str"/>
      <x:c r="J13" s="16" t="str">
        <x:v>C1 contains settings, but its match to Wildlife is not verified.</x:v>
      </x:c>
      <x:c r="K13" s="16" t="str">
        <x:v>Read back the existing C1 before deciding whether to replace it.</x:v>
      </x:c>
      <x:c r="L13" s="16" t="str">
        <x:v>Approved target pending verification</x:v>
      </x:c>
      <x:c r="M13" s="16" t="str">
        <x:v>Yes</x:v>
      </x:c>
      <x:c r="N13" s="16" t="str">
        <x:v>controls.md; data/canon_r5_custom_controls_current.yaml; Wildlife profile</x:v>
      </x:c>
      <x:c r="O13" s="16" t="str">
        <x:v>No</x:v>
      </x:c>
    </x:row>
    <x:row r="14">
      <x:c r="A14" t="str">
        <x:v>C1-REG-01</x:v>
      </x:c>
      <x:c r="B14" t="n">
        <x:v>10</x:v>
      </x:c>
      <x:c r="C14" t="str">
        <x:v>C1 Wildlife</x:v>
      </x:c>
      <x:c r="D14" s="16" t="str">
        <x:v>Register the validated Wildlife environment to C1.</x:v>
      </x:c>
      <x:c r="E14" s="16" t="str">
        <x:v>C1 registration completes without overwriting C2 or C3.</x:v>
      </x:c>
      <x:c r="F14" s="16" t="str">
        <x:v>Not started</x:v>
      </x:c>
      <x:c r="G14" s="17"/>
      <x:c r="H14" s="16" t="str"/>
      <x:c r="I14" s="16" t="str"/>
      <x:c r="J14" s="16" t="str"/>
      <x:c r="K14" s="16" t="str">
        <x:v>Register only after every C1 setting is checked.</x:v>
      </x:c>
      <x:c r="L14" s="16" t="str">
        <x:v>Approved target pending verification</x:v>
      </x:c>
      <x:c r="M14" s="16" t="str">
        <x:v>Yes</x:v>
      </x:c>
      <x:c r="N14" s="16" t="str">
        <x:v>controls.md; Back-Button AF guide</x:v>
      </x:c>
      <x:c r="O14" s="16" t="str">
        <x:v>No</x:v>
      </x:c>
    </x:row>
    <x:row r="15">
      <x:c r="A15" t="str">
        <x:v>C1-READ-01</x:v>
      </x:c>
      <x:c r="B15" t="n">
        <x:v>11</x:v>
      </x:c>
      <x:c r="C15" t="str">
        <x:v>C1 Wildlife</x:v>
      </x:c>
      <x:c r="D15" s="16" t="str">
        <x:v>Leave the setup state, recall C1 with M-Fn, and read back every setting.</x:v>
      </x:c>
      <x:c r="E15" s="16" t="str">
        <x:v>Every recalled value matches the validated C1 column.</x:v>
      </x:c>
      <x:c r="F15" s="16" t="str">
        <x:v>Not started</x:v>
      </x:c>
      <x:c r="G15" s="17"/>
      <x:c r="H15" s="16" t="str"/>
      <x:c r="I15" s="16" t="str"/>
      <x:c r="J15" s="16" t="str"/>
      <x:c r="K15" s="16" t="str">
        <x:v>Record discrepancies before proceeding to C2.</x:v>
      </x:c>
      <x:c r="L15" s="16" t="str">
        <x:v>Approved target pending verification</x:v>
      </x:c>
      <x:c r="M15" s="16" t="str">
        <x:v>Yes</x:v>
      </x:c>
      <x:c r="N15" s="16" t="str">
        <x:v>controls.md; project memory</x:v>
      </x:c>
      <x:c r="O15" s="16" t="str">
        <x:v>No</x:v>
      </x:c>
    </x:row>
    <x:row r="16">
      <x:c r="A16" t="str">
        <x:v>C1-OPS-01</x:v>
      </x:c>
      <x:c r="B16" t="n">
        <x:v>12</x:v>
      </x:c>
      <x:c r="C16" t="str">
        <x:v>C1 Wildlife</x:v>
      </x:c>
      <x:c r="D16" s="16" t="str">
        <x:v>Perform a short Wildlife operational test.</x:v>
      </x:c>
      <x:c r="E16" s="16" t="str">
        <x:v>C1 recalls a usable Wildlife environment and controls behave as intended.</x:v>
      </x:c>
      <x:c r="F16" s="16" t="str">
        <x:v>Not started</x:v>
      </x:c>
      <x:c r="G16" s="17"/>
      <x:c r="H16" s="16" t="str"/>
      <x:c r="I16" s="16" t="str"/>
      <x:c r="J16" s="16" t="str"/>
      <x:c r="K16" s="16" t="str">
        <x:v>Test acquisition, precision AF, exposure, and continuous drive.</x:v>
      </x:c>
      <x:c r="L16" s="16" t="str">
        <x:v>Approved target pending verification</x:v>
      </x:c>
      <x:c r="M16" s="16" t="str">
        <x:v>Yes</x:v>
      </x:c>
      <x:c r="N16" s="16" t="str">
        <x:v>controls.md; Wildlife profile</x:v>
      </x:c>
      <x:c r="O16" s="16" t="str">
        <x:v>No</x:v>
      </x:c>
    </x:row>
    <x:row r="17">
      <x:c r="A17" t="str">
        <x:v>C2-CONFIG-01</x:v>
      </x:c>
      <x:c r="B17" t="n">
        <x:v>13</x:v>
      </x:c>
      <x:c r="C17" t="str">
        <x:v>C2 Birds in Flight</x:v>
      </x:c>
      <x:c r="D17" s="16" t="str">
        <x:v>Return to a normal mode and build the complete C2 Birds in Flight environment.</x:v>
      </x:c>
      <x:c r="E17" s="16" t="str">
        <x:v>Every C2 target setting matches the C1–C3 Registration sheet.</x:v>
      </x:c>
      <x:c r="F17" s="16" t="str">
        <x:v>Not started</x:v>
      </x:c>
      <x:c r="G17" s="17"/>
      <x:c r="H17" s="16" t="str"/>
      <x:c r="I17" s="16" t="str"/>
      <x:c r="J17" s="16" t="str"/>
      <x:c r="K17" s="16" t="str">
        <x:v>Do not build C2 while working inside recalled C1.</x:v>
      </x:c>
      <x:c r="L17" s="16" t="str">
        <x:v>Approved target pending verification</x:v>
      </x:c>
      <x:c r="M17" s="16" t="str">
        <x:v>Yes</x:v>
      </x:c>
      <x:c r="N17" s="16" t="str">
        <x:v>Birds in Flight profile; Back-Button AF guide</x:v>
      </x:c>
      <x:c r="O17" s="16" t="str">
        <x:v>No</x:v>
      </x:c>
    </x:row>
    <x:row r="18">
      <x:c r="A18" t="str">
        <x:v>C2-REG-01</x:v>
      </x:c>
      <x:c r="B18" t="n">
        <x:v>14</x:v>
      </x:c>
      <x:c r="C18" t="str">
        <x:v>C2 Birds in Flight</x:v>
      </x:c>
      <x:c r="D18" s="16" t="str">
        <x:v>Register the validated Birds in Flight environment to C2.</x:v>
      </x:c>
      <x:c r="E18" s="16" t="str">
        <x:v>C2 registration completes without changing C1.</x:v>
      </x:c>
      <x:c r="F18" s="16" t="str">
        <x:v>Not started</x:v>
      </x:c>
      <x:c r="G18" s="17"/>
      <x:c r="H18" s="16" t="str"/>
      <x:c r="I18" s="16" t="str"/>
      <x:c r="J18" s="16" t="str"/>
      <x:c r="K18" s="16" t="str">
        <x:v>Register only after every C2 setting is checked.</x:v>
      </x:c>
      <x:c r="L18" s="16" t="str">
        <x:v>Approved target pending verification</x:v>
      </x:c>
      <x:c r="M18" s="16" t="str">
        <x:v>Yes</x:v>
      </x:c>
      <x:c r="N18" s="16" t="str">
        <x:v>controls.md; Back-Button AF guide</x:v>
      </x:c>
      <x:c r="O18" s="16" t="str">
        <x:v>No</x:v>
      </x:c>
    </x:row>
    <x:row r="19">
      <x:c r="A19" t="str">
        <x:v>C2-READ-01</x:v>
      </x:c>
      <x:c r="B19" t="n">
        <x:v>15</x:v>
      </x:c>
      <x:c r="C19" t="str">
        <x:v>C2 Birds in Flight</x:v>
      </x:c>
      <x:c r="D19" s="16" t="str">
        <x:v>Recall C2 and read back every setting.</x:v>
      </x:c>
      <x:c r="E19" s="16" t="str">
        <x:v>Every recalled value matches the validated C2 column.</x:v>
      </x:c>
      <x:c r="F19" s="16" t="str">
        <x:v>Not started</x:v>
      </x:c>
      <x:c r="G19" s="17"/>
      <x:c r="H19" s="16" t="str"/>
      <x:c r="I19" s="16" t="str"/>
      <x:c r="J19" s="16" t="str"/>
      <x:c r="K19" s="16" t="str">
        <x:v>Recheck C1 after the C2 read-back.</x:v>
      </x:c>
      <x:c r="L19" s="16" t="str">
        <x:v>Approved target pending verification</x:v>
      </x:c>
      <x:c r="M19" s="16" t="str">
        <x:v>Yes</x:v>
      </x:c>
      <x:c r="N19" s="16" t="str">
        <x:v>controls.md; project memory</x:v>
      </x:c>
      <x:c r="O19" s="16" t="str">
        <x:v>No</x:v>
      </x:c>
    </x:row>
    <x:row r="20">
      <x:c r="A20" t="str">
        <x:v>C2-OPS-01</x:v>
      </x:c>
      <x:c r="B20" t="n">
        <x:v>16</x:v>
      </x:c>
      <x:c r="C20" t="str">
        <x:v>C2 Birds in Flight</x:v>
      </x:c>
      <x:c r="D20" s="16" t="str">
        <x:v>Perform a short Birds in Flight operational test.</x:v>
      </x:c>
      <x:c r="E20" s="16" t="str">
        <x:v>C2 provides 1/2500 sec., Mechanical shutter, H+, animal tracking, and Mode 3.</x:v>
      </x:c>
      <x:c r="F20" s="16" t="str">
        <x:v>Not started</x:v>
      </x:c>
      <x:c r="G20" s="17"/>
      <x:c r="H20" s="16" t="str"/>
      <x:c r="I20" s="16" t="str"/>
      <x:c r="J20" s="16" t="str"/>
      <x:c r="K20" s="16" t="str">
        <x:v>Test tracking and burst behavior on a moving target.</x:v>
      </x:c>
      <x:c r="L20" s="16" t="str">
        <x:v>Approved target pending verification</x:v>
      </x:c>
      <x:c r="M20" s="16" t="str">
        <x:v>Yes</x:v>
      </x:c>
      <x:c r="N20" s="16" t="str">
        <x:v>Birds in Flight profile</x:v>
      </x:c>
      <x:c r="O20" s="16" t="str">
        <x:v>No</x:v>
      </x:c>
    </x:row>
    <x:row r="21">
      <x:c r="A21" t="str">
        <x:v>C3-CONFIG-01</x:v>
      </x:c>
      <x:c r="B21" t="n">
        <x:v>17</x:v>
      </x:c>
      <x:c r="C21" t="str">
        <x:v>C3 Landscape</x:v>
      </x:c>
      <x:c r="D21" s="16" t="str">
        <x:v>Return to a normal mode and build the complete C3 Landscape environment.</x:v>
      </x:c>
      <x:c r="E21" s="16" t="str">
        <x:v>Every C3 target setting matches the C1–C3 Registration sheet.</x:v>
      </x:c>
      <x:c r="F21" s="16" t="str">
        <x:v>Not started</x:v>
      </x:c>
      <x:c r="G21" s="17"/>
      <x:c r="H21" s="16" t="str"/>
      <x:c r="I21" s="16" t="str"/>
      <x:c r="J21" s="16" t="str"/>
      <x:c r="K21" s="16" t="str">
        <x:v>Do not build C3 while working inside C1 or C2.</x:v>
      </x:c>
      <x:c r="L21" s="16" t="str">
        <x:v>Approved target pending verification</x:v>
      </x:c>
      <x:c r="M21" s="16" t="str">
        <x:v>Yes</x:v>
      </x:c>
      <x:c r="N21" s="16" t="str">
        <x:v>Landscape profile; Back-Button AF guide</x:v>
      </x:c>
      <x:c r="O21" s="16" t="str">
        <x:v>No</x:v>
      </x:c>
    </x:row>
    <x:row r="22">
      <x:c r="A22" t="str">
        <x:v>C3-REG-01</x:v>
      </x:c>
      <x:c r="B22" t="n">
        <x:v>18</x:v>
      </x:c>
      <x:c r="C22" t="str">
        <x:v>C3 Landscape</x:v>
      </x:c>
      <x:c r="D22" s="16" t="str">
        <x:v>Register the validated Landscape environment to C3.</x:v>
      </x:c>
      <x:c r="E22" s="16" t="str">
        <x:v>C3 registration completes without changing C1 or C2.</x:v>
      </x:c>
      <x:c r="F22" s="16" t="str">
        <x:v>Not started</x:v>
      </x:c>
      <x:c r="G22" s="17"/>
      <x:c r="H22" s="16" t="str"/>
      <x:c r="I22" s="16" t="str"/>
      <x:c r="J22" s="16" t="str"/>
      <x:c r="K22" s="16" t="str">
        <x:v>Register only after every C3 setting is checked.</x:v>
      </x:c>
      <x:c r="L22" s="16" t="str">
        <x:v>Approved target pending verification</x:v>
      </x:c>
      <x:c r="M22" s="16" t="str">
        <x:v>Yes</x:v>
      </x:c>
      <x:c r="N22" s="16" t="str">
        <x:v>controls.md; Back-Button AF guide</x:v>
      </x:c>
      <x:c r="O22" s="16" t="str">
        <x:v>No</x:v>
      </x:c>
    </x:row>
    <x:row r="23">
      <x:c r="A23" t="str">
        <x:v>C3-READ-01</x:v>
      </x:c>
      <x:c r="B23" t="n">
        <x:v>19</x:v>
      </x:c>
      <x:c r="C23" t="str">
        <x:v>C3 Landscape</x:v>
      </x:c>
      <x:c r="D23" s="16" t="str">
        <x:v>Recall C3 and read back every setting.</x:v>
      </x:c>
      <x:c r="E23" s="16" t="str">
        <x:v>Every recalled value matches the validated C3 column.</x:v>
      </x:c>
      <x:c r="F23" s="16" t="str">
        <x:v>Not started</x:v>
      </x:c>
      <x:c r="G23" s="17"/>
      <x:c r="H23" s="16" t="str"/>
      <x:c r="I23" s="16" t="str"/>
      <x:c r="J23" s="16" t="str"/>
      <x:c r="K23" s="16" t="str">
        <x:v>Recall C1, C2, and C3 in sequence afterward.</x:v>
      </x:c>
      <x:c r="L23" s="16" t="str">
        <x:v>Approved target pending verification</x:v>
      </x:c>
      <x:c r="M23" s="16" t="str">
        <x:v>Yes</x:v>
      </x:c>
      <x:c r="N23" s="16" t="str">
        <x:v>controls.md; project memory</x:v>
      </x:c>
      <x:c r="O23" s="16" t="str">
        <x:v>No</x:v>
      </x:c>
    </x:row>
    <x:row r="24">
      <x:c r="A24" t="str">
        <x:v>C3-OPS-01</x:v>
      </x:c>
      <x:c r="B24" t="n">
        <x:v>20</x:v>
      </x:c>
      <x:c r="C24" t="str">
        <x:v>C3 Landscape</x:v>
      </x:c>
      <x:c r="D24" s="16" t="str">
        <x:v>Perform a short Landscape operational test.</x:v>
      </x:c>
      <x:c r="E24" s="16" t="str">
        <x:v>C3 provides Av, f/9, ISO 100, One-Shot, 1-Point, Single Shot, and EFCS.</x:v>
      </x:c>
      <x:c r="F24" s="16" t="str">
        <x:v>Not started</x:v>
      </x:c>
      <x:c r="G24" s="17"/>
      <x:c r="H24" s="16" t="str"/>
      <x:c r="I24" s="16" t="str"/>
      <x:c r="J24" s="16" t="str"/>
      <x:c r="K24" s="16" t="str">
        <x:v>Test handheld starting state, then tripod situational changes.</x:v>
      </x:c>
      <x:c r="L24" s="16" t="str">
        <x:v>Approved target pending verification</x:v>
      </x:c>
      <x:c r="M24" s="16" t="str">
        <x:v>Yes</x:v>
      </x:c>
      <x:c r="N24" s="16" t="str">
        <x:v>Landscape profile</x:v>
      </x:c>
      <x:c r="O24" s="16" t="str">
        <x:v>No</x:v>
      </x:c>
    </x:row>
    <x:row r="25">
      <x:c r="A25" t="str">
        <x:v>CTRL-AFON-01</x:v>
      </x:c>
      <x:c r="B25" t="n">
        <x:v>21</x:v>
      </x:c>
      <x:c r="C25" t="str">
        <x:v>Controls</x:v>
      </x:c>
      <x:c r="D25" s="16" t="str">
        <x:v>Verify AF-ON in Servo and One-Shot environments.</x:v>
      </x:c>
      <x:c r="E25" s="16" t="str">
        <x:v>AF-ON invokes Face + Tracking while maintaining the current AF Operation and Servo characteristics.</x:v>
      </x:c>
      <x:c r="F25" s="16" t="str">
        <x:v>Not started</x:v>
      </x:c>
      <x:c r="G25" s="17"/>
      <x:c r="H25" s="16" t="str"/>
      <x:c r="I25" s="16" t="str"/>
      <x:c r="J25" s="16" t="str"/>
      <x:c r="K25" s="16" t="str">
        <x:v>Run in C1/C2 and again in C3.</x:v>
      </x:c>
      <x:c r="L25" s="16" t="str">
        <x:v>Approved target pending verification</x:v>
      </x:c>
      <x:c r="M25" s="16" t="str">
        <x:v>Yes</x:v>
      </x:c>
      <x:c r="N25" s="16" t="str">
        <x:v>controls.md; data/canon_r5_custom_controls_current.yaml; project memory</x:v>
      </x:c>
      <x:c r="O25" s="16" t="str">
        <x:v>No</x:v>
      </x:c>
    </x:row>
    <x:row r="26">
      <x:c r="A26" t="str">
        <x:v>CTRL-AELOCK-01</x:v>
      </x:c>
      <x:c r="B26" t="n">
        <x:v>22</x:v>
      </x:c>
      <x:c r="C26" t="str">
        <x:v>Controls</x:v>
      </x:c>
      <x:c r="D26" s="16" t="str">
        <x:v>Verify AE Lock in Servo and One-Shot environments.</x:v>
      </x:c>
      <x:c r="E26" s="16" t="str">
        <x:v>AE Lock invokes 1-Point AF while maintaining the current AF Operation and last point position.</x:v>
      </x:c>
      <x:c r="F26" s="16" t="str">
        <x:v>Not started</x:v>
      </x:c>
      <x:c r="G26" s="17"/>
      <x:c r="H26" s="16" t="str"/>
      <x:c r="I26" s="16" t="str"/>
      <x:c r="J26" s="16" t="str"/>
      <x:c r="K26" s="16" t="str">
        <x:v>Run in C1/C2 and again in C3.</x:v>
      </x:c>
      <x:c r="L26" s="16" t="str">
        <x:v>Approved target pending verification</x:v>
      </x:c>
      <x:c r="M26" s="16" t="str">
        <x:v>Yes</x:v>
      </x:c>
      <x:c r="N26" s="16" t="str">
        <x:v>controls.md; data/canon_r5_custom_controls_current.yaml; project memory</x:v>
      </x:c>
      <x:c r="O26" s="16" t="str">
        <x:v>No</x:v>
      </x:c>
    </x:row>
    <x:row r="27">
      <x:c r="A27" t="str">
        <x:v>CTRL-DOF-01</x:v>
      </x:c>
      <x:c r="B27" t="n">
        <x:v>23</x:v>
      </x:c>
      <x:c r="C27" t="str">
        <x:v>Controls</x:v>
      </x:c>
      <x:c r="D27" s="16" t="str">
        <x:v>Verify the DOF One-Shot ↔ Servo switch.</x:v>
      </x:c>
      <x:c r="E27" s="16" t="str">
        <x:v>DOF changes AF Operation and both AF-start buttons respect the changed state.</x:v>
      </x:c>
      <x:c r="F27" s="16" t="str">
        <x:v>Not started</x:v>
      </x:c>
      <x:c r="G27" s="17"/>
      <x:c r="H27" s="16" t="str"/>
      <x:c r="I27" s="16" t="str"/>
      <x:c r="J27" s="16" t="str"/>
      <x:c r="K27" s="16" t="str">
        <x:v>Test both directions from C1/C2 and C3.</x:v>
      </x:c>
      <x:c r="L27" s="16" t="str">
        <x:v>Approved target pending verification</x:v>
      </x:c>
      <x:c r="M27" s="16" t="str">
        <x:v>Yes</x:v>
      </x:c>
      <x:c r="N27" s="16" t="str">
        <x:v>controls.md; project memory</x:v>
      </x:c>
      <x:c r="O27" s="16" t="str">
        <x:v>No</x:v>
      </x:c>
    </x:row>
    <x:row r="28">
      <x:c r="A28" t="str">
        <x:v>CTRL-SET-01</x:v>
      </x:c>
      <x:c r="B28" t="n">
        <x:v>24</x:v>
      </x:c>
      <x:c r="C28" t="str">
        <x:v>Controls</x:v>
      </x:c>
      <x:c r="D28" s="16" t="str">
        <x:v>Verify SET Eye Detection behavior.</x:v>
      </x:c>
      <x:c r="E28" s="16" t="str">
        <x:v>SET toggles Eye Detection with Face + Tracking and does not imply active eye detection with deliberate-point AF.</x:v>
      </x:c>
      <x:c r="F28" s="16" t="str">
        <x:v>Not started</x:v>
      </x:c>
      <x:c r="G28" s="17"/>
      <x:c r="H28" s="16" t="str"/>
      <x:c r="I28" s="16" t="str"/>
      <x:c r="J28" s="16" t="str"/>
      <x:c r="K28" s="16" t="str">
        <x:v>Test Face + Tracking, 1-Point AF, and Spot AF.</x:v>
      </x:c>
      <x:c r="L28" s="16" t="str">
        <x:v>Approved target pending verification</x:v>
      </x:c>
      <x:c r="M28" s="16" t="str">
        <x:v>Yes</x:v>
      </x:c>
      <x:c r="N28" s="16" t="str">
        <x:v>controls.md; data/canon_r5_custom_controls_current.yaml; project memory</x:v>
      </x:c>
      <x:c r="O28" s="16" t="str">
        <x:v>No</x:v>
      </x:c>
    </x:row>
    <x:row r="29">
      <x:c r="A29" t="str">
        <x:v>CTRL-JOY-01</x:v>
      </x:c>
      <x:c r="B29" t="n">
        <x:v>25</x:v>
      </x:c>
      <x:c r="C29" t="str">
        <x:v>Controls</x:v>
      </x:c>
      <x:c r="D29" s="16" t="str">
        <x:v>Verify joystick movement and straight-press behavior.</x:v>
      </x:c>
      <x:c r="E29" s="16" t="str">
        <x:v>Movement selects the intended point or subject; observed recenter and Face Select behavior are recorded.</x:v>
      </x:c>
      <x:c r="F29" s="16" t="str">
        <x:v>Not started</x:v>
      </x:c>
      <x:c r="G29" s="17"/>
      <x:c r="H29" s="16" t="str"/>
      <x:c r="I29" s="16" t="str"/>
      <x:c r="J29" s="16" t="str"/>
      <x:c r="K29" s="16" t="str">
        <x:v>Record single-border, double-border, release, and Face Select: Off behavior.</x:v>
      </x:c>
      <x:c r="L29" s="16" t="str">
        <x:v>Approved target pending verification</x:v>
      </x:c>
      <x:c r="M29" s="16" t="str">
        <x:v>Yes</x:v>
      </x:c>
      <x:c r="N29" s="16" t="str">
        <x:v>controls.md; project memory; Back-Button AF guide</x:v>
      </x:c>
      <x:c r="O29" s="16" t="str">
        <x:v>No</x:v>
      </x:c>
    </x:row>
    <x:row r="30">
      <x:c r="A30" t="str">
        <x:v>EFCS-SHOCK-01</x:v>
      </x:c>
      <x:c r="B30" t="n">
        <x:v>26</x:v>
      </x:c>
      <x:c r="C30" t="str">
        <x:v>EFCS Tests</x:v>
      </x:c>
      <x:c r="D30" s="16" t="str">
        <x:v>Compare EFCS and Mechanical tripod sharpness at 1/8–1/60 sec.</x:v>
      </x:c>
      <x:c r="E30" s="16" t="str">
        <x:v>At least five matched frames per shutter speed and mode are available for comparison.</x:v>
      </x:c>
      <x:c r="F30" s="16" t="str">
        <x:v>Not started</x:v>
      </x:c>
      <x:c r="G30" s="17"/>
      <x:c r="H30" s="16" t="str"/>
      <x:c r="I30" s="16" t="str"/>
      <x:c r="J30" s="16" t="str"/>
      <x:c r="K30" s="16" t="str">
        <x:v>Use a detailed static target, stabilization Off, and remote/timer release.</x:v>
      </x:c>
      <x:c r="L30" s="16" t="str">
        <x:v>Approved target pending verification</x:v>
      </x:c>
      <x:c r="M30" s="16" t="str">
        <x:v>Yes</x:v>
      </x:c>
      <x:c r="N30" s="16" t="str">
        <x:v>00 Master/baseline.yaml; EFCS decision; R5 Quick Reference</x:v>
      </x:c>
      <x:c r="O30" s="16" t="str">
        <x:v>No</x:v>
      </x:c>
    </x:row>
    <x:row r="31">
      <x:c r="A31" t="str">
        <x:v>EFCS-BOKEH-01</x:v>
      </x:c>
      <x:c r="B31" t="n">
        <x:v>27</x:v>
      </x:c>
      <x:c r="C31" t="str">
        <x:v>EFCS Tests</x:v>
      </x:c>
      <x:c r="D31" s="16" t="str">
        <x:v>Compare EFCS and Mechanical bokeh with the EF 50mm f/1.4 at 1/1000–1/8000 sec.</x:v>
      </x:c>
      <x:c r="E31" s="16" t="str">
        <x:v>Matched frames show whether EFCS clips out-of-focus highlights at fast shutter speeds.</x:v>
      </x:c>
      <x:c r="F31" s="16" t="str">
        <x:v>Not started</x:v>
      </x:c>
      <x:c r="G31" s="17"/>
      <x:c r="H31" s="16" t="str"/>
      <x:c r="I31" s="16" t="str"/>
      <x:c r="J31" s="16" t="str"/>
      <x:c r="K31" s="16" t="str">
        <x:v>Use distinct point highlights and constant focus distance.</x:v>
      </x:c>
      <x:c r="L31" s="16" t="str">
        <x:v>Approved target pending verification</x:v>
      </x:c>
      <x:c r="M31" s="16" t="str">
        <x:v>Yes</x:v>
      </x:c>
      <x:c r="N31" s="16" t="str">
        <x:v>People profile; EFCS decision; R5 Quick Reference</x:v>
      </x:c>
      <x:c r="O31" s="16" t="str">
        <x:v>No</x:v>
      </x:c>
    </x:row>
    <x:row r="32">
      <x:c r="A32" t="str">
        <x:v>EFCS-LIGHT-01</x:v>
      </x:c>
      <x:c r="B32" t="n">
        <x:v>28</x:v>
      </x:c>
      <x:c r="C32" t="str">
        <x:v>EFCS Tests</x:v>
      </x:c>
      <x:c r="D32" s="16" t="str">
        <x:v>Compare EFCS and Mechanical under representative LED or fluorescent lighting.</x:v>
      </x:c>
      <x:c r="E32" s="16" t="str">
        <x:v>Exposure and color consistency are assessed at Sports shutter speeds with Anti-flicker Off and On.</x:v>
      </x:c>
      <x:c r="F32" s="16" t="str">
        <x:v>Not started</x:v>
      </x:c>
      <x:c r="G32" s="17"/>
      <x:c r="H32" s="16" t="str"/>
      <x:c r="I32" s="16" t="str"/>
      <x:c r="J32" s="16" t="str"/>
      <x:c r="K32" s="16" t="str">
        <x:v>Use actual indoor Sports lighting when practical.</x:v>
      </x:c>
      <x:c r="L32" s="16" t="str">
        <x:v>Approved target pending verification</x:v>
      </x:c>
      <x:c r="M32" s="16" t="str">
        <x:v>Yes</x:v>
      </x:c>
      <x:c r="N32" s="16" t="str">
        <x:v>Sports profile; EFCS decision; R5 Quick Reference</x:v>
      </x:c>
      <x:c r="O32" s="16" t="str">
        <x:v>No</x:v>
      </x:c>
    </x:row>
    <x:row r="33">
      <x:c r="A33" t="str">
        <x:v>EFCS-BURST-01</x:v>
      </x:c>
      <x:c r="B33" t="n">
        <x:v>29</x:v>
      </x:c>
      <x:c r="C33" t="str">
        <x:v>EFCS Tests</x:v>
      </x:c>
      <x:c r="D33" s="16" t="str">
        <x:v>Compare High and High Speed Continuous+ burst behavior.</x:v>
      </x:c>
      <x:c r="E33" s="16" t="str">
        <x:v>Burst cadence, tracking, and viewfinder behavior are recorded for EFCS and Mechanical.</x:v>
      </x:c>
      <x:c r="F33" s="16" t="str">
        <x:v>Not started</x:v>
      </x:c>
      <x:c r="G33" s="17"/>
      <x:c r="H33" s="16" t="str"/>
      <x:c r="I33" s="16" t="str"/>
      <x:c r="J33" s="16" t="str"/>
      <x:c r="K33" s="16" t="str">
        <x:v>Record battery, lens, shutter, aperture, card, and Anti-flicker state.</x:v>
      </x:c>
      <x:c r="L33" s="16" t="str">
        <x:v>Approved target pending verification</x:v>
      </x:c>
      <x:c r="M33" s="16" t="str">
        <x:v>Yes</x:v>
      </x:c>
      <x:c r="N33" s="16" t="str">
        <x:v>EFCS decision; R5 Quick Reference</x:v>
      </x:c>
      <x:c r="O33" s="16" t="str">
        <x:v>No</x:v>
      </x:c>
    </x:row>
    <x:row r="34">
      <x:c r="A34" t="str">
        <x:v>FLASH-PLUTO-01</x:v>
      </x:c>
      <x:c r="B34" t="n">
        <x:v>30</x:v>
      </x:c>
      <x:c r="C34" t="str">
        <x:v>EFCS Tests</x:v>
      </x:c>
      <x:c r="D34" s="16" t="str">
        <x:v>Verify the Mechanical 1/200-sec. Pluto/manual-flash Waterdrops setup.</x:v>
      </x:c>
      <x:c r="E34" s="16" t="str">
        <x:v>Trigger timing, sync, exposure consistency, flash duration, and recycle behavior pass.</x:v>
      </x:c>
      <x:c r="F34" s="16" t="str">
        <x:v>Not started</x:v>
      </x:c>
      <x:c r="G34" s="17"/>
      <x:c r="H34" s="16" t="str"/>
      <x:c r="I34" s="16" t="str"/>
      <x:c r="J34" s="16" t="str"/>
      <x:c r="K34" s="16" t="str">
        <x:v>Start at manual flash 1/16–1/64 and record the complete setup.</x:v>
      </x:c>
      <x:c r="L34" s="16" t="str">
        <x:v>Approved target pending verification</x:v>
      </x:c>
      <x:c r="M34" s="16" t="str">
        <x:v>Yes</x:v>
      </x:c>
      <x:c r="N34" s="16" t="str">
        <x:v>Waterdrops profile; Flash Photography; EFCS decision</x:v>
      </x:c>
      <x:c r="O34" s="16" t="str">
        <x:v>No</x:v>
      </x:c>
    </x:row>
    <x:row r="35">
      <x:c r="A35" t="str">
        <x:v>FINAL-READ-01</x:v>
      </x:c>
      <x:c r="B35" t="n">
        <x:v>31</x:v>
      </x:c>
      <x:c r="C35" t="str">
        <x:v>Finalization</x:v>
      </x:c>
      <x:c r="D35" s="16" t="str">
        <x:v>Recall C1, C2, and C3 and complete a final read-back.</x:v>
      </x:c>
      <x:c r="E35" s="16" t="str">
        <x:v>All three custom modes and shared controls remain correct; Auto update remains disabled.</x:v>
      </x:c>
      <x:c r="F35" s="16" t="str">
        <x:v>Not started</x:v>
      </x:c>
      <x:c r="G35" s="17"/>
      <x:c r="H35" s="16" t="str"/>
      <x:c r="I35" s="16" t="str"/>
      <x:c r="J35" s="16" t="str"/>
      <x:c r="K35" s="16" t="str">
        <x:v>Resolve every discrepancy before saving the final configuration.</x:v>
      </x:c>
      <x:c r="L35" s="16" t="str">
        <x:v>Approved target pending verification</x:v>
      </x:c>
      <x:c r="M35" s="16" t="str">
        <x:v>Yes</x:v>
      </x:c>
      <x:c r="N35" s="16" t="str">
        <x:v>controls.md; project memory</x:v>
      </x:c>
      <x:c r="O35" s="16" t="str">
        <x:v>No</x:v>
      </x:c>
    </x:row>
    <x:row r="36">
      <x:c r="A36" t="str">
        <x:v>FINAL-SAVE-01</x:v>
      </x:c>
      <x:c r="B36" t="n">
        <x:v>32</x:v>
      </x:c>
      <x:c r="C36" t="str">
        <x:v>Finalization</x:v>
      </x:c>
      <x:c r="D36" s="16" t="str">
        <x:v>Save the verified complete camera configuration to the card.</x:v>
      </x:c>
      <x:c r="E36" s="16" t="str">
        <x:v>A named post-verification settings file exists and is recorded in the Sessions sheet.</x:v>
      </x:c>
      <x:c r="F36" s="16" t="str">
        <x:v>Not started</x:v>
      </x:c>
      <x:c r="G36" s="17"/>
      <x:c r="H36" s="16" t="str"/>
      <x:c r="I36" s="16" t="str"/>
      <x:c r="J36" s="16" t="str"/>
      <x:c r="K36" s="16" t="str">
        <x:v>Preserve the completed workbook and test images.</x:v>
      </x:c>
      <x:c r="L36" s="16" t="str">
        <x:v>Approved target pending verification</x:v>
      </x:c>
      <x:c r="M36" s="16" t="str">
        <x:v>No</x:v>
      </x:c>
      <x:c r="N36" s="16" t="str"/>
      <x:c r="O36" s="16" t="str">
        <x:v>Not applicable</x:v>
      </x:c>
    </x:row>
    <x:row r="37">
      <x:c r="A37" t="str">
        <x:v>PROJECT-UPDATE-01</x:v>
      </x:c>
      <x:c r="B37" t="n">
        <x:v>33</x:v>
      </x:c>
      <x:c r="C37" t="str">
        <x:v>Project Update</x:v>
      </x:c>
      <x:c r="D37" s="16" t="str">
        <x:v>Review Verified rows that require a project update.</x:v>
      </x:c>
      <x:c r="E37" s="16" t="str">
        <x:v>Only completed, unambiguous evidence is promoted to owner-confirmed status.</x:v>
      </x:c>
      <x:c r="F37" s="16" t="str">
        <x:v>Blocked</x:v>
      </x:c>
      <x:c r="G37" s="17"/>
      <x:c r="H37" s="16" t="str"/>
      <x:c r="I37" s="16" t="str"/>
      <x:c r="J37" s="16" t="str"/>
      <x:c r="K37" s="16" t="str">
        <x:v>Complete physical testing before updating project evidence states.</x:v>
      </x:c>
      <x:c r="L37" s="16" t="str">
        <x:v>Unresolved</x:v>
      </x:c>
      <x:c r="M37" s="16" t="str">
        <x:v>Yes</x:v>
      </x:c>
      <x:c r="N37" s="16" t="str">
        <x:v>TODO; controls.md; project memory; applicable profiles and guides</x:v>
      </x:c>
      <x:c r="O37" s="16" t="str">
        <x:v>No</x:v>
      </x:c>
    </x:row>
  </x:sheetData>
  <x:mergeCells>
    <x:mergeCell ref="A1:O1"/>
    <x:mergeCell ref="A2:O2"/>
  </x:mergeCells>
  <x:conditionalFormatting sqref="F5:F37">
    <x:cfRule type="containsText" dxfId="0" priority="1" operator="containsText" text="Verified"/>
    <x:cfRule type="containsText" dxfId="1" priority="2" operator="containsText" text="Failed"/>
    <x:cfRule type="containsText" dxfId="2" priority="3" operator="containsText" text="Inconclusive"/>
    <x:cfRule type="containsText" dxfId="3" priority="4" operator="containsText" text="Blocked"/>
    <x:cfRule type="containsText" dxfId="4" priority="5" operator="containsText" text="In progress"/>
    <x:cfRule type="containsText" dxfId="5" priority="6" operator="containsText" text="pending"/>
    <x:cfRule type="containsText" dxfId="6" priority="7" operator="containsText" text="Configured"/>
  </x:conditionalFormatting>
  <x:dataValidations count="4">
    <x:dataValidation type="list" sqref="F5:F37">
      <x:formula1>"Not started,In progress,Configured—not registered,Registered—pending read-back,Verified,Failed—needs correction,Inconclusive—needs retest,Blocked,Not applicable"</x:formula1>
    </x:dataValidation>
    <x:dataValidation type="list" sqref="L5:L37">
      <x:formula1>"Approved target pending verification,Owner-confirmed current configuration,Verified Canon capability,Project recommendation,Unresolved"</x:formula1>
    </x:dataValidation>
    <x:dataValidation type="list" sqref="M5:M37">
      <x:formula1>"Yes,No,Not applicable"</x:formula1>
    </x:dataValidation>
    <x:dataValidation type="list" sqref="O5:O37">
      <x:formula1>"Yes,No,Not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bf8c2f51e64c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6" max="6" width="28" hidden="0" customWidth="1"/>
    <x:col min="10" max="10" width="28" hidden="0" customWidth="1"/>
    <x:col min="3" max="3" width="16" hidden="0" customWidth="1"/>
    <x:col min="4" max="4" width="16" hidden="0" customWidth="1"/>
    <x:col min="7" max="7" width="16" hidden="0" customWidth="1"/>
    <x:col min="8" max="8" width="16" hidden="0" customWidth="1"/>
    <x:col min="11" max="11" width="16" hidden="0" customWidth="1"/>
    <x:col min="12" max="12" width="16" hidden="0" customWidth="1"/>
    <x:col min="5" max="5" width="30" hidden="0" customWidth="1"/>
    <x:col min="9" max="9" width="30" hidden="0" customWidth="1"/>
    <x:col min="13" max="13" width="30" hidden="0" customWidth="1"/>
  </x:cols>
  <x:sheetData>
    <x:row r="1" ht="28" customHeight="1">
      <x:c r="A1" s="7" t="str">
        <x:v>C1–C3 Registration: Configure → Register → Read Back → Verify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</x:row>
    <x:row r="2" ht="38" customHeight="1">
      <x:c r="A2" s="10" t="str">
        <x:v>Work from a normal shooting mode. Validate the complete column before registering a slot. Record configuration and read-back separately for every setting.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4" ht="44" customHeight="1">
      <x:c r="A4" s="15" t="str">
        <x:v>Setting</x:v>
      </x:c>
      <x:c r="B4" s="15" t="str">
        <x:v>C1 Wildlife Target</x:v>
      </x:c>
      <x:c r="C4" s="15" t="str">
        <x:v>C1 Configured</x:v>
      </x:c>
      <x:c r="D4" s="15" t="str">
        <x:v>C1 Read-back</x:v>
      </x:c>
      <x:c r="E4" s="15" t="str">
        <x:v>C1 Notes</x:v>
      </x:c>
      <x:c r="F4" s="15" t="str">
        <x:v>C2 Birds in Flight Target</x:v>
      </x:c>
      <x:c r="G4" s="15" t="str">
        <x:v>C2 Configured</x:v>
      </x:c>
      <x:c r="H4" s="15" t="str">
        <x:v>C2 Read-back</x:v>
      </x:c>
      <x:c r="I4" s="15" t="str">
        <x:v>C2 Notes</x:v>
      </x:c>
      <x:c r="J4" s="15" t="str">
        <x:v>C3 Landscape Target</x:v>
      </x:c>
      <x:c r="K4" s="15" t="str">
        <x:v>C3 Configured</x:v>
      </x:c>
      <x:c r="L4" s="15" t="str">
        <x:v>C3 Read-back</x:v>
      </x:c>
      <x:c r="M4" s="15" t="str">
        <x:v>C3 Notes</x:v>
      </x:c>
    </x:row>
    <x:row r="5">
      <x:c r="A5" s="16" t="str">
        <x:v>Mode</x:v>
      </x:c>
      <x:c r="B5" s="16" t="str">
        <x:v>Fv</x:v>
      </x:c>
      <x:c r="C5" s="16" t="str">
        <x:v>Not started</x:v>
      </x:c>
      <x:c r="D5" s="16" t="str">
        <x:v>Not started</x:v>
      </x:c>
      <x:c r="E5" s="16" t="str"/>
      <x:c r="F5" s="16" t="str">
        <x:v>Tv</x:v>
      </x:c>
      <x:c r="G5" s="16" t="str">
        <x:v>Not started</x:v>
      </x:c>
      <x:c r="H5" s="16" t="str">
        <x:v>Not started</x:v>
      </x:c>
      <x:c r="I5" s="16" t="str"/>
      <x:c r="J5" s="16" t="str">
        <x:v>Av</x:v>
      </x:c>
      <x:c r="K5" s="16" t="str">
        <x:v>Not started</x:v>
      </x:c>
      <x:c r="L5" s="16" t="str">
        <x:v>Not started</x:v>
      </x:c>
      <x:c r="M5" s="16" t="str"/>
    </x:row>
    <x:row r="6">
      <x:c r="A6" s="16" t="str">
        <x:v>Metering</x:v>
      </x:c>
      <x:c r="B6" s="16" t="str">
        <x:v>Evaluative</x:v>
      </x:c>
      <x:c r="C6" s="16" t="str">
        <x:v>Not started</x:v>
      </x:c>
      <x:c r="D6" s="16" t="str">
        <x:v>Not started</x:v>
      </x:c>
      <x:c r="E6" s="16" t="str"/>
      <x:c r="F6" s="16" t="str">
        <x:v>Evaluative</x:v>
      </x:c>
      <x:c r="G6" s="16" t="str">
        <x:v>Not started</x:v>
      </x:c>
      <x:c r="H6" s="16" t="str">
        <x:v>Not started</x:v>
      </x:c>
      <x:c r="I6" s="16" t="str"/>
      <x:c r="J6" s="16" t="str">
        <x:v>Evaluative</x:v>
      </x:c>
      <x:c r="K6" s="16" t="str">
        <x:v>Not started</x:v>
      </x:c>
      <x:c r="L6" s="16" t="str">
        <x:v>Not started</x:v>
      </x:c>
      <x:c r="M6" s="16" t="str"/>
    </x:row>
    <x:row r="7">
      <x:c r="A7" s="16" t="str">
        <x:v>Exposure Compensation</x:v>
      </x:c>
      <x:c r="B7" s="16" t="str">
        <x:v>0</x:v>
      </x:c>
      <x:c r="C7" s="16" t="str">
        <x:v>Not started</x:v>
      </x:c>
      <x:c r="D7" s="16" t="str">
        <x:v>Not started</x:v>
      </x:c>
      <x:c r="E7" s="16" t="str"/>
      <x:c r="F7" s="16" t="str">
        <x:v>0 starting point</x:v>
      </x:c>
      <x:c r="G7" s="16" t="str">
        <x:v>Not started</x:v>
      </x:c>
      <x:c r="H7" s="16" t="str">
        <x:v>Not started</x:v>
      </x:c>
      <x:c r="I7" s="16" t="str"/>
      <x:c r="J7" s="16" t="str">
        <x:v>0</x:v>
      </x:c>
      <x:c r="K7" s="16" t="str">
        <x:v>Not started</x:v>
      </x:c>
      <x:c r="L7" s="16" t="str">
        <x:v>Not started</x:v>
      </x:c>
      <x:c r="M7" s="16" t="str"/>
    </x:row>
    <x:row r="8">
      <x:c r="A8" s="16" t="str">
        <x:v>Shutter Speed</x:v>
      </x:c>
      <x:c r="B8" s="16" t="str">
        <x:v>Auto</x:v>
      </x:c>
      <x:c r="C8" s="16" t="str">
        <x:v>Not started</x:v>
      </x:c>
      <x:c r="D8" s="16" t="str">
        <x:v>Not started</x:v>
      </x:c>
      <x:c r="E8" s="16" t="str"/>
      <x:c r="F8" s="16" t="str">
        <x:v>1/2500 sec.</x:v>
      </x:c>
      <x:c r="G8" s="16" t="str">
        <x:v>Not started</x:v>
      </x:c>
      <x:c r="H8" s="16" t="str">
        <x:v>Not started</x:v>
      </x:c>
      <x:c r="I8" s="16" t="str"/>
      <x:c r="J8" s="16" t="str">
        <x:v>Auto</x:v>
      </x:c>
      <x:c r="K8" s="16" t="str">
        <x:v>Not started</x:v>
      </x:c>
      <x:c r="L8" s="16" t="str">
        <x:v>Not started</x:v>
      </x:c>
      <x:c r="M8" s="16" t="str"/>
    </x:row>
    <x:row r="9">
      <x:c r="A9" s="16" t="str">
        <x:v>Aperture</x:v>
      </x:c>
      <x:c r="B9" s="16" t="str">
        <x:v>Auto</x:v>
      </x:c>
      <x:c r="C9" s="16" t="str">
        <x:v>Not started</x:v>
      </x:c>
      <x:c r="D9" s="16" t="str">
        <x:v>Not started</x:v>
      </x:c>
      <x:c r="E9" s="16" t="str"/>
      <x:c r="F9" s="16" t="str">
        <x:v>Auto</x:v>
      </x:c>
      <x:c r="G9" s="16" t="str">
        <x:v>Not started</x:v>
      </x:c>
      <x:c r="H9" s="16" t="str">
        <x:v>Not started</x:v>
      </x:c>
      <x:c r="I9" s="16" t="str"/>
      <x:c r="J9" s="16" t="str">
        <x:v>f/9</x:v>
      </x:c>
      <x:c r="K9" s="16" t="str">
        <x:v>Not started</x:v>
      </x:c>
      <x:c r="L9" s="16" t="str">
        <x:v>Not started</x:v>
      </x:c>
      <x:c r="M9" s="16" t="str"/>
    </x:row>
    <x:row r="10">
      <x:c r="A10" s="16" t="str">
        <x:v>ISO</x:v>
      </x:c>
      <x:c r="B10" s="16" t="str">
        <x:v>Auto</x:v>
      </x:c>
      <x:c r="C10" s="16" t="str">
        <x:v>Not started</x:v>
      </x:c>
      <x:c r="D10" s="16" t="str">
        <x:v>Not started</x:v>
      </x:c>
      <x:c r="E10" s="16" t="str"/>
      <x:c r="F10" s="16" t="str">
        <x:v>Auto</x:v>
      </x:c>
      <x:c r="G10" s="16" t="str">
        <x:v>Not started</x:v>
      </x:c>
      <x:c r="H10" s="16" t="str">
        <x:v>Not started</x:v>
      </x:c>
      <x:c r="I10" s="16" t="str"/>
      <x:c r="J10" s="16" t="n">
        <x:v>100</x:v>
      </x:c>
      <x:c r="K10" s="16" t="str">
        <x:v>Not started</x:v>
      </x:c>
      <x:c r="L10" s="16" t="str">
        <x:v>Not started</x:v>
      </x:c>
      <x:c r="M10" s="16" t="str"/>
    </x:row>
    <x:row r="11">
      <x:c r="A11" s="16" t="str">
        <x:v>Auto ISO Maximum</x:v>
      </x:c>
      <x:c r="B11" s="16" t="n">
        <x:v>12800</x:v>
      </x:c>
      <x:c r="C11" s="16" t="str">
        <x:v>Not started</x:v>
      </x:c>
      <x:c r="D11" s="16" t="str">
        <x:v>Not started</x:v>
      </x:c>
      <x:c r="E11" s="16" t="str"/>
      <x:c r="F11" s="16" t="n">
        <x:v>12800</x:v>
      </x:c>
      <x:c r="G11" s="16" t="str">
        <x:v>Not started</x:v>
      </x:c>
      <x:c r="H11" s="16" t="str">
        <x:v>Not started</x:v>
      </x:c>
      <x:c r="I11" s="16" t="str"/>
      <x:c r="J11" s="16" t="str">
        <x:v>12800; inactive at ISO 100</x:v>
      </x:c>
      <x:c r="K11" s="16" t="str">
        <x:v>Not started</x:v>
      </x:c>
      <x:c r="L11" s="16" t="str">
        <x:v>Not started</x:v>
      </x:c>
      <x:c r="M11" s="16" t="str"/>
    </x:row>
    <x:row r="12">
      <x:c r="A12" s="16" t="str">
        <x:v>AF Operation</x:v>
      </x:c>
      <x:c r="B12" s="16" t="str">
        <x:v>Servo AF</x:v>
      </x:c>
      <x:c r="C12" s="16" t="str">
        <x:v>Not started</x:v>
      </x:c>
      <x:c r="D12" s="16" t="str">
        <x:v>Not started</x:v>
      </x:c>
      <x:c r="E12" s="16" t="str"/>
      <x:c r="F12" s="16" t="str">
        <x:v>Servo AF</x:v>
      </x:c>
      <x:c r="G12" s="16" t="str">
        <x:v>Not started</x:v>
      </x:c>
      <x:c r="H12" s="16" t="str">
        <x:v>Not started</x:v>
      </x:c>
      <x:c r="I12" s="16" t="str"/>
      <x:c r="J12" s="16" t="str">
        <x:v>One-Shot AF</x:v>
      </x:c>
      <x:c r="K12" s="16" t="str">
        <x:v>Not started</x:v>
      </x:c>
      <x:c r="L12" s="16" t="str">
        <x:v>Not started</x:v>
      </x:c>
      <x:c r="M12" s="16" t="str"/>
    </x:row>
    <x:row r="13">
      <x:c r="A13" s="16" t="str">
        <x:v>AF Method</x:v>
      </x:c>
      <x:c r="B13" s="16" t="str">
        <x:v>Face + Tracking</x:v>
      </x:c>
      <x:c r="C13" s="16" t="str">
        <x:v>Not started</x:v>
      </x:c>
      <x:c r="D13" s="16" t="str">
        <x:v>Not started</x:v>
      </x:c>
      <x:c r="E13" s="16" t="str"/>
      <x:c r="F13" s="16" t="str">
        <x:v>Face + Tracking</x:v>
      </x:c>
      <x:c r="G13" s="16" t="str">
        <x:v>Not started</x:v>
      </x:c>
      <x:c r="H13" s="16" t="str">
        <x:v>Not started</x:v>
      </x:c>
      <x:c r="I13" s="16" t="str"/>
      <x:c r="J13" s="16" t="str">
        <x:v>1-Point AF</x:v>
      </x:c>
      <x:c r="K13" s="16" t="str">
        <x:v>Not started</x:v>
      </x:c>
      <x:c r="L13" s="16" t="str">
        <x:v>Not started</x:v>
      </x:c>
      <x:c r="M13" s="16" t="str"/>
    </x:row>
    <x:row r="14">
      <x:c r="A14" s="16" t="str">
        <x:v>Subject Detection</x:v>
      </x:c>
      <x:c r="B14" s="16" t="str">
        <x:v>Animals</x:v>
      </x:c>
      <x:c r="C14" s="16" t="str">
        <x:v>Not started</x:v>
      </x:c>
      <x:c r="D14" s="16" t="str">
        <x:v>Not started</x:v>
      </x:c>
      <x:c r="E14" s="16" t="str"/>
      <x:c r="F14" s="16" t="str">
        <x:v>Animals</x:v>
      </x:c>
      <x:c r="G14" s="16" t="str">
        <x:v>Not started</x:v>
      </x:c>
      <x:c r="H14" s="16" t="str">
        <x:v>Not started</x:v>
      </x:c>
      <x:c r="I14" s="16" t="str"/>
      <x:c r="J14" s="16" t="str">
        <x:v>None</x:v>
      </x:c>
      <x:c r="K14" s="16" t="str">
        <x:v>Not started</x:v>
      </x:c>
      <x:c r="L14" s="16" t="str">
        <x:v>Not started</x:v>
      </x:c>
      <x:c r="M14" s="16" t="str"/>
    </x:row>
    <x:row r="15">
      <x:c r="A15" s="16" t="str">
        <x:v>Eye Detection</x:v>
      </x:c>
      <x:c r="B15" s="16" t="str">
        <x:v>Enable</x:v>
      </x:c>
      <x:c r="C15" s="16" t="str">
        <x:v>Not started</x:v>
      </x:c>
      <x:c r="D15" s="16" t="str">
        <x:v>Not started</x:v>
      </x:c>
      <x:c r="E15" s="16" t="str"/>
      <x:c r="F15" s="16" t="str">
        <x:v>Enable</x:v>
      </x:c>
      <x:c r="G15" s="16" t="str">
        <x:v>Not started</x:v>
      </x:c>
      <x:c r="H15" s="16" t="str">
        <x:v>Not started</x:v>
      </x:c>
      <x:c r="I15" s="16" t="str"/>
      <x:c r="J15" s="16" t="str">
        <x:v>Disable</x:v>
      </x:c>
      <x:c r="K15" s="16" t="str">
        <x:v>Not started</x:v>
      </x:c>
      <x:c r="L15" s="16" t="str">
        <x:v>Not started</x:v>
      </x:c>
      <x:c r="M15" s="16" t="str"/>
    </x:row>
    <x:row r="16">
      <x:c r="A16" s="16" t="str">
        <x:v>Drive Mode</x:v>
      </x:c>
      <x:c r="B16" s="16" t="str">
        <x:v>High Speed Continuous</x:v>
      </x:c>
      <x:c r="C16" s="16" t="str">
        <x:v>Not started</x:v>
      </x:c>
      <x:c r="D16" s="16" t="str">
        <x:v>Not started</x:v>
      </x:c>
      <x:c r="E16" s="16" t="str"/>
      <x:c r="F16" s="16" t="str">
        <x:v>High Speed Continuous+</x:v>
      </x:c>
      <x:c r="G16" s="16" t="str">
        <x:v>Not started</x:v>
      </x:c>
      <x:c r="H16" s="16" t="str">
        <x:v>Not started</x:v>
      </x:c>
      <x:c r="I16" s="16" t="str"/>
      <x:c r="J16" s="16" t="str">
        <x:v>Single Shot</x:v>
      </x:c>
      <x:c r="K16" s="16" t="str">
        <x:v>Not started</x:v>
      </x:c>
      <x:c r="L16" s="16" t="str">
        <x:v>Not started</x:v>
      </x:c>
      <x:c r="M16" s="16" t="str"/>
    </x:row>
    <x:row r="17">
      <x:c r="A17" s="16" t="str">
        <x:v>Shutter Type</x:v>
      </x:c>
      <x:c r="B17" s="16" t="str">
        <x:v>EFCS</x:v>
      </x:c>
      <x:c r="C17" s="16" t="str">
        <x:v>Not started</x:v>
      </x:c>
      <x:c r="D17" s="16" t="str">
        <x:v>Not started</x:v>
      </x:c>
      <x:c r="E17" s="16" t="str"/>
      <x:c r="F17" s="16" t="str">
        <x:v>Mechanical</x:v>
      </x:c>
      <x:c r="G17" s="16" t="str">
        <x:v>Not started</x:v>
      </x:c>
      <x:c r="H17" s="16" t="str">
        <x:v>Not started</x:v>
      </x:c>
      <x:c r="I17" s="16" t="str"/>
      <x:c r="J17" s="16" t="str">
        <x:v>EFCS</x:v>
      </x:c>
      <x:c r="K17" s="16" t="str">
        <x:v>Not started</x:v>
      </x:c>
      <x:c r="L17" s="16" t="str">
        <x:v>Not started</x:v>
      </x:c>
      <x:c r="M17" s="16" t="str"/>
    </x:row>
    <x:row r="18">
      <x:c r="A18" s="16" t="str">
        <x:v>Image Stabilizer Mode</x:v>
      </x:c>
      <x:c r="B18" s="16" t="str">
        <x:v>Mode 1</x:v>
      </x:c>
      <x:c r="C18" s="16" t="str">
        <x:v>Not started</x:v>
      </x:c>
      <x:c r="D18" s="16" t="str">
        <x:v>Not started</x:v>
      </x:c>
      <x:c r="E18" s="16" t="str"/>
      <x:c r="F18" s="16" t="str">
        <x:v>Mode 3</x:v>
      </x:c>
      <x:c r="G18" s="16" t="str">
        <x:v>Not started</x:v>
      </x:c>
      <x:c r="H18" s="16" t="str">
        <x:v>Not started</x:v>
      </x:c>
      <x:c r="I18" s="16" t="str"/>
      <x:c r="J18" s="16" t="str">
        <x:v>Mode 1</x:v>
      </x:c>
      <x:c r="K18" s="16" t="str">
        <x:v>Not started</x:v>
      </x:c>
      <x:c r="L18" s="16" t="str">
        <x:v>Not started</x:v>
      </x:c>
      <x:c r="M18" s="16" t="str"/>
    </x:row>
    <x:row r="19">
      <x:c r="A19" s="16" t="str">
        <x:v>IBIS</x:v>
      </x:c>
      <x:c r="B19" s="16" t="str">
        <x:v>On</x:v>
      </x:c>
      <x:c r="C19" s="16" t="str">
        <x:v>Not started</x:v>
      </x:c>
      <x:c r="D19" s="16" t="str">
        <x:v>Not started</x:v>
      </x:c>
      <x:c r="E19" s="16" t="str"/>
      <x:c r="F19" s="16" t="str">
        <x:v>On</x:v>
      </x:c>
      <x:c r="G19" s="16" t="str">
        <x:v>Not started</x:v>
      </x:c>
      <x:c r="H19" s="16" t="str">
        <x:v>Not started</x:v>
      </x:c>
      <x:c r="I19" s="16" t="str"/>
      <x:c r="J19" s="16" t="str">
        <x:v>On</x:v>
      </x:c>
      <x:c r="K19" s="16" t="str">
        <x:v>Not started</x:v>
      </x:c>
      <x:c r="L19" s="16" t="str">
        <x:v>Not started</x:v>
      </x:c>
      <x:c r="M19" s="16" t="str"/>
    </x:row>
    <x:row r="20">
      <x:c r="A20" s="16" t="str">
        <x:v>Focus Bracketing</x:v>
      </x:c>
      <x:c r="B20" s="16" t="str">
        <x:v>Disable</x:v>
      </x:c>
      <x:c r="C20" s="16" t="str">
        <x:v>Not started</x:v>
      </x:c>
      <x:c r="D20" s="16" t="str">
        <x:v>Not started</x:v>
      </x:c>
      <x:c r="E20" s="16" t="str"/>
      <x:c r="F20" s="16" t="str">
        <x:v>Disable</x:v>
      </x:c>
      <x:c r="G20" s="16" t="str">
        <x:v>Not started</x:v>
      </x:c>
      <x:c r="H20" s="16" t="str">
        <x:v>Not started</x:v>
      </x:c>
      <x:c r="I20" s="16" t="str"/>
      <x:c r="J20" s="16" t="str">
        <x:v>Disable; enable situationally</x:v>
      </x:c>
      <x:c r="K20" s="16" t="str">
        <x:v>Not started</x:v>
      </x:c>
      <x:c r="L20" s="16" t="str">
        <x:v>Not started</x:v>
      </x:c>
      <x:c r="M20" s="16" t="str"/>
    </x:row>
    <x:row r="21">
      <x:c r="A21" s="16" t="str">
        <x:v>Lens IS switch</x:v>
      </x:c>
      <x:c r="B21" s="16" t="str">
        <x:v>On; physical check</x:v>
      </x:c>
      <x:c r="C21" s="16" t="str">
        <x:v>Not started</x:v>
      </x:c>
      <x:c r="D21" s="16" t="str">
        <x:v>Not started</x:v>
      </x:c>
      <x:c r="E21" s="16" t="str"/>
      <x:c r="F21" s="16" t="str">
        <x:v>On; physical check</x:v>
      </x:c>
      <x:c r="G21" s="16" t="str">
        <x:v>Not started</x:v>
      </x:c>
      <x:c r="H21" s="16" t="str">
        <x:v>Not started</x:v>
      </x:c>
      <x:c r="I21" s="16" t="str"/>
      <x:c r="J21" s="16" t="str">
        <x:v>On; handheld registration</x:v>
      </x:c>
      <x:c r="K21" s="16" t="str">
        <x:v>Not started</x:v>
      </x:c>
      <x:c r="L21" s="16" t="str">
        <x:v>Not started</x:v>
      </x:c>
      <x:c r="M21" s="16" t="str"/>
    </x:row>
  </x:sheetData>
  <x:mergeCells>
    <x:mergeCell ref="A1:M1"/>
    <x:mergeCell ref="A2:M2"/>
  </x:mergeCells>
  <x:conditionalFormatting sqref="C5:C21">
    <x:cfRule type="containsText" dxfId="7" priority="1" operator="containsText" text="Pass"/>
    <x:cfRule type="containsText" dxfId="8" priority="2" operator="containsText" text="Fail"/>
    <x:cfRule type="containsText" dxfId="9" priority="3" operator="containsText" text="Needs retest"/>
  </x:conditionalFormatting>
  <x:conditionalFormatting sqref="D5:D21">
    <x:cfRule type="containsText" dxfId="10" priority="4" operator="containsText" text="Pass"/>
    <x:cfRule type="containsText" dxfId="11" priority="5" operator="containsText" text="Fail"/>
    <x:cfRule type="containsText" dxfId="12" priority="6" operator="containsText" text="Needs retest"/>
  </x:conditionalFormatting>
  <x:conditionalFormatting sqref="G5:G21">
    <x:cfRule type="containsText" dxfId="13" priority="7" operator="containsText" text="Pass"/>
    <x:cfRule type="containsText" dxfId="14" priority="8" operator="containsText" text="Fail"/>
    <x:cfRule type="containsText" dxfId="15" priority="9" operator="containsText" text="Needs retest"/>
  </x:conditionalFormatting>
  <x:conditionalFormatting sqref="H5:H21">
    <x:cfRule type="containsText" dxfId="16" priority="10" operator="containsText" text="Pass"/>
    <x:cfRule type="containsText" dxfId="17" priority="11" operator="containsText" text="Fail"/>
    <x:cfRule type="containsText" dxfId="18" priority="12" operator="containsText" text="Needs retest"/>
  </x:conditionalFormatting>
  <x:conditionalFormatting sqref="K5:K21">
    <x:cfRule type="containsText" dxfId="19" priority="13" operator="containsText" text="Pass"/>
    <x:cfRule type="containsText" dxfId="20" priority="14" operator="containsText" text="Fail"/>
    <x:cfRule type="containsText" dxfId="21" priority="15" operator="containsText" text="Needs retest"/>
  </x:conditionalFormatting>
  <x:conditionalFormatting sqref="L5:L21">
    <x:cfRule type="containsText" dxfId="22" priority="16" operator="containsText" text="Pass"/>
    <x:cfRule type="containsText" dxfId="23" priority="17" operator="containsText" text="Fail"/>
    <x:cfRule type="containsText" dxfId="24" priority="18" operator="containsText" text="Needs retest"/>
  </x:conditionalFormatting>
  <x:dataValidations count="6">
    <x:dataValidation type="list" sqref="C5:C21">
      <x:formula1>"Not started,Pass,Fail,Needs retest,Not applicable"</x:formula1>
    </x:dataValidation>
    <x:dataValidation type="list" sqref="D5:D21">
      <x:formula1>"Not started,Pass,Fail,Needs retest,Not applicable"</x:formula1>
    </x:dataValidation>
    <x:dataValidation type="list" sqref="G5:G21">
      <x:formula1>"Not started,Pass,Fail,Needs retest,Not applicable"</x:formula1>
    </x:dataValidation>
    <x:dataValidation type="list" sqref="H5:H21">
      <x:formula1>"Not started,Pass,Fail,Needs retest,Not applicable"</x:formula1>
    </x:dataValidation>
    <x:dataValidation type="list" sqref="K5:K21">
      <x:formula1>"Not started,Pass,Fail,Needs retest,Not applicable"</x:formula1>
    </x:dataValidation>
    <x:dataValidation type="list" sqref="L5:L21">
      <x:formula1>"Not started,Pass,Fail,Needs retest,Not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b9a909d82b42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36" hidden="0" customWidth="1"/>
    <x:col min="4" max="4" width="14" hidden="0" customWidth="1"/>
    <x:col min="5" max="5" width="20" hidden="0" customWidth="1"/>
    <x:col min="6" max="6" width="24" hidden="0" customWidth="1"/>
    <x:col min="7" max="7" width="24" hidden="0" customWidth="1"/>
    <x:col min="8" max="8" width="22" hidden="0" customWidth="1"/>
    <x:col min="9" max="9" width="20" hidden="0" customWidth="1"/>
    <x:col min="10" max="10" width="36" hidden="0" customWidth="1"/>
    <x:col min="11" max="11" width="36" hidden="0" customWidth="1"/>
    <x:col min="12" max="12" width="38" hidden="0" customWidth="1"/>
  </x:cols>
  <x:sheetData>
    <x:row r="1" ht="28" customHeight="1">
      <x:c r="A1" s="6" t="str">
        <x:v>Verification Sessions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8" customHeight="1">
      <x:c r="A2" s="10" t="str">
        <x:v>Use one row per camera session. Reference the Session ID from Checklist rows so evidence and observations remain traceable.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2" customHeight="1">
      <x:c r="A4" s="14" t="str">
        <x:v>Session ID</x:v>
      </x:c>
      <x:c r="B4" s="14" t="str">
        <x:v>Date</x:v>
      </x:c>
      <x:c r="C4" s="14" t="str">
        <x:v>Goal</x:v>
      </x:c>
      <x:c r="D4" s="14" t="str">
        <x:v>Firmware</x:v>
      </x:c>
      <x:c r="E4" s="14" t="str">
        <x:v>Battery / Charge</x:v>
      </x:c>
      <x:c r="F4" s="14" t="str">
        <x:v>Lens</x:v>
      </x:c>
      <x:c r="G4" s="14" t="str">
        <x:v>Flash / Trigger</x:v>
      </x:c>
      <x:c r="H4" s="14" t="str">
        <x:v>Starting Backup</x:v>
      </x:c>
      <x:c r="I4" s="14" t="str">
        <x:v>Image Range</x:v>
      </x:c>
      <x:c r="J4" s="14" t="str">
        <x:v>Outcome</x:v>
      </x:c>
      <x:c r="K4" s="14" t="str">
        <x:v>Next Session</x:v>
      </x:c>
      <x:c r="L4" s="14" t="str">
        <x:v>Notes</x:v>
      </x:c>
    </x:row>
    <x:row r="5">
      <x:c r="A5" s="16" t="str"/>
      <x:c r="B5" s="17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/>
      <x:c r="K5" s="16" t="str"/>
      <x:c r="L5" s="16" t="str"/>
    </x:row>
    <x:row r="6">
      <x:c r="A6" s="16" t="str"/>
      <x:c r="B6" s="17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6" t="str"/>
    </x:row>
    <x:row r="7">
      <x:c r="A7" s="16" t="str"/>
      <x:c r="B7" s="17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6" t="str"/>
    </x:row>
    <x:row r="8">
      <x:c r="A8" s="16" t="str"/>
      <x:c r="B8" s="17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  <x:c r="L8" s="16" t="str"/>
    </x:row>
    <x:row r="9">
      <x:c r="A9" s="16" t="str"/>
      <x:c r="B9" s="17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  <x:c r="L9" s="16" t="str"/>
    </x:row>
    <x:row r="10">
      <x:c r="A10" s="16" t="str"/>
      <x:c r="B10" s="17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</x:row>
    <x:row r="11">
      <x:c r="A11" s="16" t="str"/>
      <x:c r="B11" s="17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  <x:c r="L11" s="16" t="str"/>
    </x:row>
    <x:row r="12">
      <x:c r="A12" s="16" t="str"/>
      <x:c r="B12" s="17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  <x:c r="L12" s="16" t="str"/>
    </x:row>
    <x:row r="13">
      <x:c r="A13" s="16" t="str"/>
      <x:c r="B13" s="17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</x:row>
    <x:row r="14">
      <x:c r="A14" s="16" t="str"/>
      <x:c r="B14" s="17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</x:row>
    <x:row r="15">
      <x:c r="A15" s="16" t="str"/>
      <x:c r="B15" s="17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  <x:c r="L15" s="16" t="str"/>
    </x:row>
    <x:row r="16">
      <x:c r="A16" s="16" t="str"/>
      <x:c r="B16" s="17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  <x:c r="L16" s="16" t="str"/>
    </x:row>
    <x:row r="17">
      <x:c r="A17" s="16" t="str"/>
      <x:c r="B17" s="17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  <x:c r="L17" s="16" t="str"/>
    </x:row>
    <x:row r="18">
      <x:c r="A18" s="16" t="str"/>
      <x:c r="B18" s="17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  <x:c r="L18" s="16" t="str"/>
    </x:row>
    <x:row r="19">
      <x:c r="A19" s="16" t="str"/>
      <x:c r="B19" s="17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  <x:c r="L19" s="16" t="str"/>
    </x:row>
    <x:row r="20">
      <x:c r="A20" s="16" t="str"/>
      <x:c r="B20" s="17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  <x:c r="L20" s="16" t="str"/>
    </x:row>
    <x:row r="21">
      <x:c r="A21" s="16" t="str"/>
      <x:c r="B21" s="17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  <x:c r="L21" s="16" t="str"/>
    </x:row>
    <x:row r="22">
      <x:c r="A22" s="16" t="str"/>
      <x:c r="B22" s="17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 t="str"/>
      <x:c r="L22" s="16" t="str"/>
    </x:row>
    <x:row r="23">
      <x:c r="A23" s="16" t="str"/>
      <x:c r="B23" s="17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  <x:c r="L23" s="16" t="str"/>
    </x:row>
    <x:row r="24">
      <x:c r="A24" s="16" t="str"/>
      <x:c r="B24" s="17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  <x:c r="L24" s="16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e5700ae158046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</x:cols>
  <x:sheetData>
    <x:row r="1">
      <x:c r="A1" s="4" t="str">
        <x:v>Main Status</x:v>
      </x:c>
      <x:c r="B1" s="4" t="str">
        <x:v>Evidence Class</x:v>
      </x:c>
      <x:c r="C1" s="4" t="str">
        <x:v>Yes / No</x:v>
      </x:c>
      <x:c r="D1" s="4" t="str">
        <x:v>Registration Result</x:v>
      </x:c>
    </x:row>
    <x:row r="2">
      <x:c r="A2" s="5" t="str">
        <x:v>Not started</x:v>
      </x:c>
      <x:c r="B2" s="5" t="str">
        <x:v>Approved target pending verification</x:v>
      </x:c>
      <x:c r="C2" s="5" t="str">
        <x:v>Yes</x:v>
      </x:c>
      <x:c r="D2" s="5" t="str">
        <x:v>Not started</x:v>
      </x:c>
    </x:row>
    <x:row r="3">
      <x:c r="A3" s="5" t="str">
        <x:v>In progress</x:v>
      </x:c>
      <x:c r="B3" s="5" t="str">
        <x:v>Owner-confirmed current configuration</x:v>
      </x:c>
      <x:c r="C3" s="5" t="str">
        <x:v>No</x:v>
      </x:c>
      <x:c r="D3" s="5" t="str">
        <x:v>Pass</x:v>
      </x:c>
    </x:row>
    <x:row r="4">
      <x:c r="A4" s="5" t="str">
        <x:v>Configured—not registered</x:v>
      </x:c>
      <x:c r="B4" s="5" t="str">
        <x:v>Verified Canon capability</x:v>
      </x:c>
      <x:c r="C4" s="5" t="str">
        <x:v>Not applicable</x:v>
      </x:c>
      <x:c r="D4" s="5" t="str">
        <x:v>Fail</x:v>
      </x:c>
    </x:row>
    <x:row r="5">
      <x:c r="A5" s="5" t="str">
        <x:v>Registered—pending read-back</x:v>
      </x:c>
      <x:c r="B5" s="5" t="str">
        <x:v>Project recommendation</x:v>
      </x:c>
      <x:c r="C5" s="5"/>
      <x:c r="D5" s="5" t="str">
        <x:v>Needs retest</x:v>
      </x:c>
    </x:row>
    <x:row r="6">
      <x:c r="A6" s="5" t="str">
        <x:v>Verified</x:v>
      </x:c>
      <x:c r="B6" s="5" t="str">
        <x:v>Unresolved</x:v>
      </x:c>
      <x:c r="C6" s="5"/>
      <x:c r="D6" s="5" t="str">
        <x:v>Not applicable</x:v>
      </x:c>
    </x:row>
    <x:row r="7">
      <x:c r="A7" s="5" t="str">
        <x:v>Failed—needs correction</x:v>
      </x:c>
      <x:c r="B7" s="5"/>
      <x:c r="C7" s="5"/>
      <x:c r="D7" s="5"/>
    </x:row>
    <x:row r="8">
      <x:c r="A8" s="5" t="str">
        <x:v>Inconclusive—needs retest</x:v>
      </x:c>
      <x:c r="B8" s="5"/>
      <x:c r="C8" s="5"/>
      <x:c r="D8" s="5"/>
    </x:row>
    <x:row r="9">
      <x:c r="A9" s="5" t="str">
        <x:v>Blocked</x:v>
      </x:c>
      <x:c r="B9" s="5"/>
      <x:c r="C9" s="5"/>
      <x:c r="D9" s="5"/>
    </x:row>
    <x:row r="10">
      <x:c r="A10" s="5" t="str">
        <x:v>Not applicable</x:v>
      </x:c>
      <x:c r="B10" s="5"/>
      <x:c r="C10" s="5"/>
      <x:c r="D10" s="5"/>
    </x:row>
    <x:row r="11">
      <x:c r="A11" s="5"/>
      <x:c r="B11" s="5"/>
      <x:c r="C11" s="5"/>
      <x:c r="D11" s="5"/>
    </x:row>
    <x:row r="12">
      <x:c r="A12" s="5"/>
      <x:c r="B12" s="5"/>
      <x:c r="C12" s="5"/>
      <x:c r="D12" s="5"/>
    </x:row>
  </x:sheetData>
  <x:pageMargins left="0.7" right="0.7" top="0.75" bottom="0.75" header="0.3" footer="0.3"/>
</x:worksheet>
</file>